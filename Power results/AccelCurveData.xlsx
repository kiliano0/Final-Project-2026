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kytho\Desktop\"/>
    </mc:Choice>
  </mc:AlternateContent>
  <xr:revisionPtr revIDLastSave="0" documentId="13_ncr:1_{2A809E9E-3405-4AAA-AE92-3BC63FB43D35}" xr6:coauthVersionLast="47" xr6:coauthVersionMax="47" xr10:uidLastSave="{00000000-0000-0000-0000-000000000000}"/>
  <bookViews>
    <workbookView xWindow="-108" yWindow="-108" windowWidth="23256" windowHeight="12456" firstSheet="12" activeTab="13" xr2:uid="{8E097B12-2360-44A0-9152-65AD93B4F4C5}"/>
  </bookViews>
  <sheets>
    <sheet name="Accel Curve" sheetId="1" r:id="rId1"/>
    <sheet name="Speed Curve" sheetId="2" r:id="rId2"/>
    <sheet name="AllSpeedAllAccelTest" sheetId="3" r:id="rId3"/>
    <sheet name="AllSpeedsAllAccelsRobot1(2)" sheetId="14" r:id="rId4"/>
    <sheet name="AllSpeedsAllAccelsRobot1(3)" sheetId="15" r:id="rId5"/>
    <sheet name="AllSpeedsAllAccelsRobot1(4)" sheetId="17" r:id="rId6"/>
    <sheet name="AllSpeedsAllAccelsRobot1(5)" sheetId="16" r:id="rId7"/>
    <sheet name="AllSpeedsAllAccelsRobot1(6)" sheetId="21" r:id="rId8"/>
    <sheet name="AllSpeedsAllAccelsRobot1(7)" sheetId="22" r:id="rId9"/>
    <sheet name="AllSpeedsAllAccelsRobot1(8)" sheetId="23" r:id="rId10"/>
    <sheet name="AllSpeedsAllAccelsRobot1(9)" sheetId="24" r:id="rId11"/>
    <sheet name="AllSpeedsAllAccelsRobot1(10)" sheetId="25" r:id="rId12"/>
    <sheet name="AllSpeedsAllAccelsRobot1(11)" sheetId="26" r:id="rId13"/>
    <sheet name="Power Calculations" sheetId="18" r:id="rId14"/>
    <sheet name="AverageTIme" sheetId="27" r:id="rId15"/>
  </sheets>
  <calcPr calcId="191029"/>
  <pivotCaches>
    <pivotCache cacheId="1" r:id="rId16"/>
    <pivotCache cacheId="2" r:id="rId17"/>
    <pivotCache cacheId="3" r:id="rId18"/>
    <pivotCache cacheId="4" r:id="rId19"/>
    <pivotCache cacheId="5" r:id="rId20"/>
    <pivotCache cacheId="6" r:id="rId21"/>
    <pivotCache cacheId="7" r:id="rId22"/>
    <pivotCache cacheId="8" r:id="rId23"/>
    <pivotCache cacheId="9" r:id="rId24"/>
    <pivotCache cacheId="10" r:id="rId2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12" i="18" l="1"/>
  <c r="BK12" i="18"/>
  <c r="AZ21" i="18"/>
  <c r="BA21" i="18"/>
  <c r="BB21" i="18"/>
  <c r="BC21" i="18"/>
  <c r="BD21" i="18"/>
  <c r="BE21" i="18"/>
  <c r="BF21" i="18"/>
  <c r="BG21" i="18"/>
  <c r="BH21" i="18"/>
  <c r="BI21" i="18"/>
  <c r="AZ22" i="18"/>
  <c r="BA22" i="18"/>
  <c r="BB22" i="18"/>
  <c r="BC22" i="18"/>
  <c r="BD22" i="18"/>
  <c r="BE22" i="18"/>
  <c r="BF22" i="18"/>
  <c r="BG22" i="18"/>
  <c r="BH22" i="18"/>
  <c r="BI22" i="18"/>
  <c r="AZ23" i="18"/>
  <c r="BA23" i="18"/>
  <c r="BB23" i="18"/>
  <c r="BC23" i="18"/>
  <c r="BD23" i="18"/>
  <c r="BE23" i="18"/>
  <c r="BF23" i="18"/>
  <c r="BG23" i="18"/>
  <c r="BH23" i="18"/>
  <c r="BI23" i="18"/>
  <c r="AZ24" i="18"/>
  <c r="BA24" i="18"/>
  <c r="BB24" i="18"/>
  <c r="BC24" i="18"/>
  <c r="BD24" i="18"/>
  <c r="BE24" i="18"/>
  <c r="BF24" i="18"/>
  <c r="BG24" i="18"/>
  <c r="BH24" i="18"/>
  <c r="BI24" i="18"/>
  <c r="AZ25" i="18"/>
  <c r="BA25" i="18"/>
  <c r="BB25" i="18"/>
  <c r="BC25" i="18"/>
  <c r="BD25" i="18"/>
  <c r="BE25" i="18"/>
  <c r="BF25" i="18"/>
  <c r="BG25" i="18"/>
  <c r="BH25" i="18"/>
  <c r="BI25" i="18"/>
  <c r="AZ26" i="18"/>
  <c r="BA26" i="18"/>
  <c r="BB26" i="18"/>
  <c r="BC26" i="18"/>
  <c r="BD26" i="18"/>
  <c r="BE26" i="18"/>
  <c r="BF26" i="18"/>
  <c r="BG26" i="18"/>
  <c r="BH26" i="18"/>
  <c r="BI26" i="18"/>
  <c r="AZ27" i="18"/>
  <c r="BA27" i="18"/>
  <c r="BB27" i="18"/>
  <c r="BC27" i="18"/>
  <c r="BD27" i="18"/>
  <c r="BE27" i="18"/>
  <c r="BF27" i="18"/>
  <c r="BG27" i="18"/>
  <c r="BH27" i="18"/>
  <c r="BI27" i="18"/>
  <c r="AZ28" i="18"/>
  <c r="BA28" i="18"/>
  <c r="BB28" i="18"/>
  <c r="BC28" i="18"/>
  <c r="BD28" i="18"/>
  <c r="BE28" i="18"/>
  <c r="BF28" i="18"/>
  <c r="BG28" i="18"/>
  <c r="BH28" i="18"/>
  <c r="BI28" i="18"/>
  <c r="AZ29" i="18"/>
  <c r="BA29" i="18"/>
  <c r="BB29" i="18"/>
  <c r="BC29" i="18"/>
  <c r="BD29" i="18"/>
  <c r="BE29" i="18"/>
  <c r="BF29" i="18"/>
  <c r="BG29" i="18"/>
  <c r="BH29" i="18"/>
  <c r="BI29" i="18"/>
  <c r="BA20" i="18"/>
  <c r="BB20" i="18"/>
  <c r="BC20" i="18"/>
  <c r="BD20" i="18"/>
  <c r="BE20" i="18"/>
  <c r="BF20" i="18"/>
  <c r="BG20" i="18"/>
  <c r="BH20" i="18"/>
  <c r="BI20" i="18"/>
  <c r="AZ20" i="18"/>
  <c r="AB66" i="18"/>
  <c r="AN66" i="18"/>
  <c r="AN80" i="18"/>
  <c r="AN67" i="18"/>
  <c r="AO67" i="18"/>
  <c r="AP67" i="18"/>
  <c r="AQ67" i="18"/>
  <c r="AR67" i="18"/>
  <c r="AS67" i="18"/>
  <c r="AT67" i="18"/>
  <c r="AU67" i="18"/>
  <c r="AV67" i="18"/>
  <c r="AW67" i="18"/>
  <c r="AN68" i="18"/>
  <c r="AO68" i="18"/>
  <c r="AP68" i="18"/>
  <c r="AQ68" i="18"/>
  <c r="AR68" i="18"/>
  <c r="AS68" i="18"/>
  <c r="AT68" i="18"/>
  <c r="AU68" i="18"/>
  <c r="AV68" i="18"/>
  <c r="AW68" i="18"/>
  <c r="AN69" i="18"/>
  <c r="AO69" i="18"/>
  <c r="AP69" i="18"/>
  <c r="AQ69" i="18"/>
  <c r="AR69" i="18"/>
  <c r="AS69" i="18"/>
  <c r="AT69" i="18"/>
  <c r="AU69" i="18"/>
  <c r="AV69" i="18"/>
  <c r="AW69" i="18"/>
  <c r="AN70" i="18"/>
  <c r="AO70" i="18"/>
  <c r="AP70" i="18"/>
  <c r="AQ70" i="18"/>
  <c r="AR70" i="18"/>
  <c r="AS70" i="18"/>
  <c r="AT70" i="18"/>
  <c r="AU70" i="18"/>
  <c r="AV70" i="18"/>
  <c r="AW70" i="18"/>
  <c r="AN71" i="18"/>
  <c r="AO71" i="18"/>
  <c r="AP71" i="18"/>
  <c r="AQ71" i="18"/>
  <c r="AR71" i="18"/>
  <c r="AS71" i="18"/>
  <c r="AT71" i="18"/>
  <c r="AU71" i="18"/>
  <c r="AV71" i="18"/>
  <c r="AW71" i="18"/>
  <c r="AN72" i="18"/>
  <c r="AO72" i="18"/>
  <c r="AP72" i="18"/>
  <c r="AQ72" i="18"/>
  <c r="AR72" i="18"/>
  <c r="AS72" i="18"/>
  <c r="AT72" i="18"/>
  <c r="AU72" i="18"/>
  <c r="AV72" i="18"/>
  <c r="AW72" i="18"/>
  <c r="AN73" i="18"/>
  <c r="AO73" i="18"/>
  <c r="AP73" i="18"/>
  <c r="AQ73" i="18"/>
  <c r="AR73" i="18"/>
  <c r="AS73" i="18"/>
  <c r="AT73" i="18"/>
  <c r="AU73" i="18"/>
  <c r="AV73" i="18"/>
  <c r="AW73" i="18"/>
  <c r="AN74" i="18"/>
  <c r="AO74" i="18"/>
  <c r="AP74" i="18"/>
  <c r="AQ74" i="18"/>
  <c r="AR74" i="18"/>
  <c r="AS74" i="18"/>
  <c r="AT74" i="18"/>
  <c r="AU74" i="18"/>
  <c r="AV74" i="18"/>
  <c r="AW74" i="18"/>
  <c r="AN75" i="18"/>
  <c r="AO75" i="18"/>
  <c r="AP75" i="18"/>
  <c r="AQ75" i="18"/>
  <c r="AR75" i="18"/>
  <c r="AS75" i="18"/>
  <c r="AT75" i="18"/>
  <c r="AU75" i="18"/>
  <c r="AV75" i="18"/>
  <c r="AW75" i="18"/>
  <c r="AO66" i="18"/>
  <c r="AP66" i="18"/>
  <c r="AQ66" i="18"/>
  <c r="AR66" i="18"/>
  <c r="AS66" i="18"/>
  <c r="AT66" i="18"/>
  <c r="AU66" i="18"/>
  <c r="AV66" i="18"/>
  <c r="AW66" i="18"/>
  <c r="AK72" i="18"/>
  <c r="AK86" i="18" s="1"/>
  <c r="AC66" i="18"/>
  <c r="AD66" i="18"/>
  <c r="AE66" i="18"/>
  <c r="AF66" i="18"/>
  <c r="AG66" i="18"/>
  <c r="AH66" i="18"/>
  <c r="AI66" i="18"/>
  <c r="AJ66" i="18"/>
  <c r="AK66" i="18"/>
  <c r="AB67" i="18"/>
  <c r="AB81" i="18" s="1"/>
  <c r="AC67" i="18"/>
  <c r="AD67" i="18"/>
  <c r="AD81" i="18" s="1"/>
  <c r="AE67" i="18"/>
  <c r="AE81" i="18" s="1"/>
  <c r="AF67" i="18"/>
  <c r="AF81" i="18" s="1"/>
  <c r="AG67" i="18"/>
  <c r="AG81" i="18" s="1"/>
  <c r="AH67" i="18"/>
  <c r="AH81" i="18" s="1"/>
  <c r="AI67" i="18"/>
  <c r="AI81" i="18" s="1"/>
  <c r="AJ67" i="18"/>
  <c r="AJ81" i="18" s="1"/>
  <c r="AK67" i="18"/>
  <c r="AK81" i="18" s="1"/>
  <c r="AB68" i="18"/>
  <c r="AB82" i="18" s="1"/>
  <c r="AC68" i="18"/>
  <c r="AC82" i="18" s="1"/>
  <c r="AD68" i="18"/>
  <c r="AE68" i="18"/>
  <c r="AE82" i="18" s="1"/>
  <c r="AF68" i="18"/>
  <c r="AF82" i="18" s="1"/>
  <c r="AG68" i="18"/>
  <c r="AG82" i="18" s="1"/>
  <c r="AH68" i="18"/>
  <c r="AH82" i="18" s="1"/>
  <c r="AI68" i="18"/>
  <c r="AI82" i="18" s="1"/>
  <c r="AJ68" i="18"/>
  <c r="AJ82" i="18" s="1"/>
  <c r="AK68" i="18"/>
  <c r="AK82" i="18" s="1"/>
  <c r="AB69" i="18"/>
  <c r="AB83" i="18" s="1"/>
  <c r="AC69" i="18"/>
  <c r="AC83" i="18" s="1"/>
  <c r="AD69" i="18"/>
  <c r="AD83" i="18" s="1"/>
  <c r="AE69" i="18"/>
  <c r="AF69" i="18"/>
  <c r="AF83" i="18" s="1"/>
  <c r="AG69" i="18"/>
  <c r="AG83" i="18" s="1"/>
  <c r="AH69" i="18"/>
  <c r="AH83" i="18" s="1"/>
  <c r="AI69" i="18"/>
  <c r="AI83" i="18" s="1"/>
  <c r="AJ69" i="18"/>
  <c r="AJ83" i="18" s="1"/>
  <c r="AK69" i="18"/>
  <c r="AK83" i="18" s="1"/>
  <c r="AB70" i="18"/>
  <c r="AB84" i="18" s="1"/>
  <c r="AC70" i="18"/>
  <c r="AC84" i="18" s="1"/>
  <c r="AD70" i="18"/>
  <c r="AD84" i="18" s="1"/>
  <c r="AE70" i="18"/>
  <c r="AE84" i="18" s="1"/>
  <c r="AF70" i="18"/>
  <c r="AG70" i="18"/>
  <c r="AG84" i="18" s="1"/>
  <c r="AH70" i="18"/>
  <c r="AH84" i="18" s="1"/>
  <c r="AI70" i="18"/>
  <c r="AI84" i="18" s="1"/>
  <c r="AJ70" i="18"/>
  <c r="AK70" i="18"/>
  <c r="AB71" i="18"/>
  <c r="AC71" i="18"/>
  <c r="AD71" i="18"/>
  <c r="AE71" i="18"/>
  <c r="AF71" i="18"/>
  <c r="AG71" i="18"/>
  <c r="BA96" i="18" s="1"/>
  <c r="AH71" i="18"/>
  <c r="AI71" i="18"/>
  <c r="AJ71" i="18"/>
  <c r="AK71" i="18"/>
  <c r="AB72" i="18"/>
  <c r="AC72" i="18"/>
  <c r="AD72" i="18"/>
  <c r="AE72" i="18"/>
  <c r="AF72" i="18"/>
  <c r="AG72" i="18"/>
  <c r="AH72" i="18"/>
  <c r="BA97" i="18" s="1"/>
  <c r="AI72" i="18"/>
  <c r="AJ72" i="18"/>
  <c r="AB73" i="18"/>
  <c r="AC73" i="18"/>
  <c r="AD73" i="18"/>
  <c r="AE73" i="18"/>
  <c r="AF73" i="18"/>
  <c r="AG73" i="18"/>
  <c r="AH73" i="18"/>
  <c r="AI73" i="18"/>
  <c r="BA98" i="18" s="1"/>
  <c r="AJ73" i="18"/>
  <c r="AK73" i="18"/>
  <c r="AB74" i="18"/>
  <c r="AC74" i="18"/>
  <c r="AD74" i="18"/>
  <c r="AE74" i="18"/>
  <c r="AF74" i="18"/>
  <c r="AG74" i="18"/>
  <c r="AH74" i="18"/>
  <c r="AI74" i="18"/>
  <c r="AJ74" i="18"/>
  <c r="BA99" i="18" s="1"/>
  <c r="AK74" i="18"/>
  <c r="AB75" i="18"/>
  <c r="AC75" i="18"/>
  <c r="AD75" i="18"/>
  <c r="AE75" i="18"/>
  <c r="AF75" i="18"/>
  <c r="AG75" i="18"/>
  <c r="AH75" i="18"/>
  <c r="AI75" i="18"/>
  <c r="AJ75" i="18"/>
  <c r="AK75" i="18"/>
  <c r="BA100" i="18" s="1"/>
  <c r="AB21" i="27"/>
  <c r="AC21" i="27"/>
  <c r="AD21" i="27"/>
  <c r="AE21" i="27"/>
  <c r="AF21" i="27"/>
  <c r="AG21" i="27"/>
  <c r="AH21" i="27"/>
  <c r="AI21" i="27"/>
  <c r="AJ21" i="27"/>
  <c r="AK21" i="27"/>
  <c r="AB22" i="27"/>
  <c r="AC22" i="27"/>
  <c r="AD22" i="27"/>
  <c r="AE22" i="27"/>
  <c r="AF22" i="27"/>
  <c r="AG22" i="27"/>
  <c r="AH22" i="27"/>
  <c r="AI22" i="27"/>
  <c r="AJ22" i="27"/>
  <c r="AK22" i="27"/>
  <c r="AB23" i="27"/>
  <c r="AC23" i="27"/>
  <c r="AD23" i="27"/>
  <c r="AE23" i="27"/>
  <c r="AF23" i="27"/>
  <c r="AG23" i="27"/>
  <c r="AH23" i="27"/>
  <c r="AI23" i="27"/>
  <c r="AJ23" i="27"/>
  <c r="AK23" i="27"/>
  <c r="AB24" i="27"/>
  <c r="AC24" i="27"/>
  <c r="AD24" i="27"/>
  <c r="AE24" i="27"/>
  <c r="AF24" i="27"/>
  <c r="AG24" i="27"/>
  <c r="AH24" i="27"/>
  <c r="AI24" i="27"/>
  <c r="AJ24" i="27"/>
  <c r="AK24" i="27"/>
  <c r="AB25" i="27"/>
  <c r="AC25" i="27"/>
  <c r="AD25" i="27"/>
  <c r="AE25" i="27"/>
  <c r="AF25" i="27"/>
  <c r="AG25" i="27"/>
  <c r="AH25" i="27"/>
  <c r="AI25" i="27"/>
  <c r="AJ25" i="27"/>
  <c r="AK25" i="27"/>
  <c r="AB26" i="27"/>
  <c r="AC26" i="27"/>
  <c r="AD26" i="27"/>
  <c r="AE26" i="27"/>
  <c r="AF26" i="27"/>
  <c r="AG26" i="27"/>
  <c r="AH26" i="27"/>
  <c r="AI26" i="27"/>
  <c r="AJ26" i="27"/>
  <c r="AK26" i="27"/>
  <c r="AB27" i="27"/>
  <c r="AC27" i="27"/>
  <c r="AD27" i="27"/>
  <c r="AE27" i="27"/>
  <c r="AF27" i="27"/>
  <c r="AG27" i="27"/>
  <c r="AH27" i="27"/>
  <c r="AI27" i="27"/>
  <c r="AJ27" i="27"/>
  <c r="AK27" i="27"/>
  <c r="AB28" i="27"/>
  <c r="AC28" i="27"/>
  <c r="AD28" i="27"/>
  <c r="AE28" i="27"/>
  <c r="AF28" i="27"/>
  <c r="AG28" i="27"/>
  <c r="AH28" i="27"/>
  <c r="AI28" i="27"/>
  <c r="AJ28" i="27"/>
  <c r="AK28" i="27"/>
  <c r="AB29" i="27"/>
  <c r="AC29" i="27"/>
  <c r="AD29" i="27"/>
  <c r="AE29" i="27"/>
  <c r="AF29" i="27"/>
  <c r="AG29" i="27"/>
  <c r="AH29" i="27"/>
  <c r="AI29" i="27"/>
  <c r="AJ29" i="27"/>
  <c r="AK29" i="27"/>
  <c r="AC20" i="27"/>
  <c r="AD20" i="27"/>
  <c r="AE20" i="27"/>
  <c r="AF20" i="27"/>
  <c r="AG20" i="27"/>
  <c r="AH20" i="27"/>
  <c r="AI20" i="27"/>
  <c r="AJ20" i="27"/>
  <c r="AK20" i="27"/>
  <c r="AB20" i="27"/>
  <c r="AB37" i="18"/>
  <c r="AC37" i="18"/>
  <c r="AD37" i="18"/>
  <c r="AE37" i="18"/>
  <c r="AF37" i="18"/>
  <c r="AG37" i="18"/>
  <c r="AH37" i="18"/>
  <c r="AI37" i="18"/>
  <c r="AJ37" i="18"/>
  <c r="AK37" i="18"/>
  <c r="AB38" i="18"/>
  <c r="AC38" i="18"/>
  <c r="AD38" i="18"/>
  <c r="AE38" i="18"/>
  <c r="AF38" i="18"/>
  <c r="AG38" i="18"/>
  <c r="AH38" i="18"/>
  <c r="AI38" i="18"/>
  <c r="AJ38" i="18"/>
  <c r="AK38" i="18"/>
  <c r="AB39" i="18"/>
  <c r="AC39" i="18"/>
  <c r="AD39" i="18"/>
  <c r="AE39" i="18"/>
  <c r="AF39" i="18"/>
  <c r="AG39" i="18"/>
  <c r="AH39" i="18"/>
  <c r="AI39" i="18"/>
  <c r="AJ39" i="18"/>
  <c r="AK39" i="18"/>
  <c r="AB40" i="18"/>
  <c r="AC40" i="18"/>
  <c r="AD40" i="18"/>
  <c r="AE40" i="18"/>
  <c r="AF40" i="18"/>
  <c r="AG40" i="18"/>
  <c r="AH40" i="18"/>
  <c r="AI40" i="18"/>
  <c r="AJ40" i="18"/>
  <c r="AK40" i="18"/>
  <c r="AB41" i="18"/>
  <c r="AC41" i="18"/>
  <c r="AD41" i="18"/>
  <c r="AE41" i="18"/>
  <c r="AF41" i="18"/>
  <c r="AG41" i="18"/>
  <c r="AH41" i="18"/>
  <c r="AI41" i="18"/>
  <c r="AJ41" i="18"/>
  <c r="AK41" i="18"/>
  <c r="AB42" i="18"/>
  <c r="AC42" i="18"/>
  <c r="AD42" i="18"/>
  <c r="AE42" i="18"/>
  <c r="AF42" i="18"/>
  <c r="AG42" i="18"/>
  <c r="AH42" i="18"/>
  <c r="AI42" i="18"/>
  <c r="AJ42" i="18"/>
  <c r="AK42" i="18"/>
  <c r="AB43" i="18"/>
  <c r="AC43" i="18"/>
  <c r="AD43" i="18"/>
  <c r="AE43" i="18"/>
  <c r="AF43" i="18"/>
  <c r="AG43" i="18"/>
  <c r="AH43" i="18"/>
  <c r="AI43" i="18"/>
  <c r="AJ43" i="18"/>
  <c r="AK43" i="18"/>
  <c r="AB44" i="18"/>
  <c r="AC44" i="18"/>
  <c r="AD44" i="18"/>
  <c r="AE44" i="18"/>
  <c r="AF44" i="18"/>
  <c r="AG44" i="18"/>
  <c r="AH44" i="18"/>
  <c r="AI44" i="18"/>
  <c r="AJ44" i="18"/>
  <c r="AK44" i="18"/>
  <c r="AB45" i="18"/>
  <c r="AC45" i="18"/>
  <c r="AD45" i="18"/>
  <c r="AE45" i="18"/>
  <c r="AF45" i="18"/>
  <c r="AG45" i="18"/>
  <c r="AH45" i="18"/>
  <c r="AI45" i="18"/>
  <c r="AJ45" i="18"/>
  <c r="AK45" i="18"/>
  <c r="AC36" i="18"/>
  <c r="AD36" i="18"/>
  <c r="AE36" i="18"/>
  <c r="AF36" i="18"/>
  <c r="AG36" i="18"/>
  <c r="AH36" i="18"/>
  <c r="AI36" i="18"/>
  <c r="AJ36" i="18"/>
  <c r="AK36" i="18"/>
  <c r="AB36" i="18"/>
  <c r="AB3" i="18"/>
  <c r="AB4" i="18"/>
  <c r="AB5" i="18"/>
  <c r="AB6" i="18"/>
  <c r="AB7" i="18"/>
  <c r="AB8" i="18"/>
  <c r="AB9" i="18"/>
  <c r="AB26" i="18" s="1"/>
  <c r="AB10" i="18"/>
  <c r="AB11" i="18"/>
  <c r="AB28" i="18" s="1"/>
  <c r="AB12" i="18"/>
  <c r="AB3" i="27"/>
  <c r="AB4" i="27"/>
  <c r="AB5" i="27"/>
  <c r="AB6" i="27"/>
  <c r="AB7" i="27"/>
  <c r="AB8" i="27"/>
  <c r="AB9" i="27"/>
  <c r="AB10" i="27"/>
  <c r="AB11" i="27"/>
  <c r="AB12" i="27"/>
  <c r="AC4" i="27"/>
  <c r="AD4" i="27"/>
  <c r="AE4" i="27"/>
  <c r="AF4" i="27"/>
  <c r="AG4" i="27"/>
  <c r="AH4" i="27"/>
  <c r="AI4" i="27"/>
  <c r="AJ4" i="27"/>
  <c r="AK4" i="27"/>
  <c r="AC5" i="27"/>
  <c r="AD5" i="27"/>
  <c r="AE5" i="27"/>
  <c r="AF5" i="27"/>
  <c r="AG5" i="27"/>
  <c r="AH5" i="27"/>
  <c r="AI5" i="27"/>
  <c r="AJ5" i="27"/>
  <c r="AK5" i="27"/>
  <c r="AC6" i="27"/>
  <c r="AD6" i="27"/>
  <c r="AE6" i="27"/>
  <c r="AF6" i="27"/>
  <c r="AG6" i="27"/>
  <c r="AH6" i="27"/>
  <c r="AI6" i="27"/>
  <c r="AJ6" i="27"/>
  <c r="AK6" i="27"/>
  <c r="AC7" i="27"/>
  <c r="AD7" i="27"/>
  <c r="AE7" i="27"/>
  <c r="AF7" i="27"/>
  <c r="AG7" i="27"/>
  <c r="AH7" i="27"/>
  <c r="AI7" i="27"/>
  <c r="AJ7" i="27"/>
  <c r="AK7" i="27"/>
  <c r="AC8" i="27"/>
  <c r="AD8" i="27"/>
  <c r="AE8" i="27"/>
  <c r="AF8" i="27"/>
  <c r="AG8" i="27"/>
  <c r="AH8" i="27"/>
  <c r="AI8" i="27"/>
  <c r="AJ8" i="27"/>
  <c r="AK8" i="27"/>
  <c r="AC9" i="27"/>
  <c r="AD9" i="27"/>
  <c r="AE9" i="27"/>
  <c r="AF9" i="27"/>
  <c r="AG9" i="27"/>
  <c r="AH9" i="27"/>
  <c r="AI9" i="27"/>
  <c r="AJ9" i="27"/>
  <c r="AK9" i="27"/>
  <c r="AC10" i="27"/>
  <c r="AD10" i="27"/>
  <c r="AE10" i="27"/>
  <c r="AF10" i="27"/>
  <c r="AG10" i="27"/>
  <c r="AH10" i="27"/>
  <c r="AI10" i="27"/>
  <c r="AJ10" i="27"/>
  <c r="AK10" i="27"/>
  <c r="AC11" i="27"/>
  <c r="AD11" i="27"/>
  <c r="AE11" i="27"/>
  <c r="AF11" i="27"/>
  <c r="AG11" i="27"/>
  <c r="AH11" i="27"/>
  <c r="AI11" i="27"/>
  <c r="AJ11" i="27"/>
  <c r="AK11" i="27"/>
  <c r="AC12" i="27"/>
  <c r="AD12" i="27"/>
  <c r="AE12" i="27"/>
  <c r="AF12" i="27"/>
  <c r="AG12" i="27"/>
  <c r="AH12" i="27"/>
  <c r="AI12" i="27"/>
  <c r="AJ12" i="27"/>
  <c r="AK12" i="27"/>
  <c r="AC3" i="27"/>
  <c r="AD3" i="27"/>
  <c r="AE3" i="27"/>
  <c r="AF3" i="27"/>
  <c r="AG3" i="27"/>
  <c r="AH3" i="27"/>
  <c r="AI3" i="27"/>
  <c r="AJ3" i="27"/>
  <c r="AK3" i="27"/>
  <c r="AC4" i="18"/>
  <c r="AD4" i="18"/>
  <c r="AE4" i="18"/>
  <c r="AF4" i="18"/>
  <c r="AG4" i="18"/>
  <c r="AH4" i="18"/>
  <c r="AI4" i="18"/>
  <c r="AJ4" i="18"/>
  <c r="AK4" i="18"/>
  <c r="AC5" i="18"/>
  <c r="AD5" i="18"/>
  <c r="AE5" i="18"/>
  <c r="AF5" i="18"/>
  <c r="AG5" i="18"/>
  <c r="AH5" i="18"/>
  <c r="AI5" i="18"/>
  <c r="AJ5" i="18"/>
  <c r="AK5" i="18"/>
  <c r="AC6" i="18"/>
  <c r="AD6" i="18"/>
  <c r="AE6" i="18"/>
  <c r="AF6" i="18"/>
  <c r="AG6" i="18"/>
  <c r="AH6" i="18"/>
  <c r="AI6" i="18"/>
  <c r="AJ6" i="18"/>
  <c r="AK6" i="18"/>
  <c r="AC7" i="18"/>
  <c r="AD7" i="18"/>
  <c r="AE7" i="18"/>
  <c r="AF7" i="18"/>
  <c r="AG7" i="18"/>
  <c r="AH7" i="18"/>
  <c r="AI7" i="18"/>
  <c r="AJ7" i="18"/>
  <c r="AK7" i="18"/>
  <c r="AC8" i="18"/>
  <c r="AD8" i="18"/>
  <c r="AE8" i="18"/>
  <c r="AF8" i="18"/>
  <c r="AG8" i="18"/>
  <c r="AH8" i="18"/>
  <c r="AI8" i="18"/>
  <c r="AJ8" i="18"/>
  <c r="AK8" i="18"/>
  <c r="AC9" i="18"/>
  <c r="AD9" i="18"/>
  <c r="AE9" i="18"/>
  <c r="AF9" i="18"/>
  <c r="AG9" i="18"/>
  <c r="AH9" i="18"/>
  <c r="AI9" i="18"/>
  <c r="AJ9" i="18"/>
  <c r="AK9" i="18"/>
  <c r="AC10" i="18"/>
  <c r="AD10" i="18"/>
  <c r="AE10" i="18"/>
  <c r="AF10" i="18"/>
  <c r="AG10" i="18"/>
  <c r="AH10" i="18"/>
  <c r="AI10" i="18"/>
  <c r="AJ10" i="18"/>
  <c r="AK10" i="18"/>
  <c r="AC11" i="18"/>
  <c r="AD11" i="18"/>
  <c r="AE11" i="18"/>
  <c r="AF11" i="18"/>
  <c r="AG11" i="18"/>
  <c r="AH11" i="18"/>
  <c r="AI11" i="18"/>
  <c r="AJ11" i="18"/>
  <c r="AK11" i="18"/>
  <c r="AC12" i="18"/>
  <c r="AD12" i="18"/>
  <c r="AE12" i="18"/>
  <c r="AF12" i="18"/>
  <c r="AG12" i="18"/>
  <c r="AH12" i="18"/>
  <c r="AI12" i="18"/>
  <c r="AJ12" i="18"/>
  <c r="AK12" i="18"/>
  <c r="AC3" i="18"/>
  <c r="AD3" i="18"/>
  <c r="AE3" i="18"/>
  <c r="AF3" i="18"/>
  <c r="AG3" i="18"/>
  <c r="AH3" i="18"/>
  <c r="AI3" i="18"/>
  <c r="AJ3" i="18"/>
  <c r="AK3" i="18"/>
  <c r="AK20" i="18" s="1"/>
  <c r="AC20" i="18"/>
  <c r="AD20" i="18"/>
  <c r="AF20" i="18"/>
  <c r="AG20" i="18"/>
  <c r="AH20" i="18"/>
  <c r="AI20" i="18"/>
  <c r="AJ20" i="18"/>
  <c r="D4" i="1"/>
  <c r="D5" i="1"/>
  <c r="D6" i="1"/>
  <c r="D7" i="1"/>
  <c r="D8" i="1"/>
  <c r="D9" i="1"/>
  <c r="D10" i="1"/>
  <c r="D11" i="1"/>
  <c r="D3" i="1"/>
  <c r="D2" i="1"/>
  <c r="BA91" i="18" l="1"/>
  <c r="AB80" i="18"/>
  <c r="BA93" i="18"/>
  <c r="AD82" i="18"/>
  <c r="BA52" i="18"/>
  <c r="BB52" i="18"/>
  <c r="BC52" i="18"/>
  <c r="BD52" i="18"/>
  <c r="BE52" i="18"/>
  <c r="BF52" i="18"/>
  <c r="BG52" i="18"/>
  <c r="BH52" i="18"/>
  <c r="BI52" i="18"/>
  <c r="BJ52" i="18"/>
  <c r="BA53" i="18"/>
  <c r="BB53" i="18"/>
  <c r="BC53" i="18"/>
  <c r="BD53" i="18"/>
  <c r="BE53" i="18"/>
  <c r="BF53" i="18"/>
  <c r="BG53" i="18"/>
  <c r="BH53" i="18"/>
  <c r="BI53" i="18"/>
  <c r="BJ53" i="18"/>
  <c r="BA54" i="18"/>
  <c r="BB54" i="18"/>
  <c r="BC54" i="18"/>
  <c r="BD54" i="18"/>
  <c r="BE54" i="18"/>
  <c r="BF54" i="18"/>
  <c r="BG54" i="18"/>
  <c r="BH54" i="18"/>
  <c r="BI54" i="18"/>
  <c r="BJ54" i="18"/>
  <c r="BA55" i="18"/>
  <c r="BB55" i="18"/>
  <c r="BC55" i="18"/>
  <c r="BD55" i="18"/>
  <c r="BE55" i="18"/>
  <c r="BF55" i="18"/>
  <c r="BG55" i="18"/>
  <c r="BH55" i="18"/>
  <c r="BI55" i="18"/>
  <c r="BJ55" i="18"/>
  <c r="BA56" i="18"/>
  <c r="BB56" i="18"/>
  <c r="BC56" i="18"/>
  <c r="BD56" i="18"/>
  <c r="BE56" i="18"/>
  <c r="BF56" i="18"/>
  <c r="BG56" i="18"/>
  <c r="BH56" i="18"/>
  <c r="BI56" i="18"/>
  <c r="BJ56" i="18"/>
  <c r="BA57" i="18"/>
  <c r="BB57" i="18"/>
  <c r="BC57" i="18"/>
  <c r="BD57" i="18"/>
  <c r="BE57" i="18"/>
  <c r="BF57" i="18"/>
  <c r="BG57" i="18"/>
  <c r="BH57" i="18"/>
  <c r="BI57" i="18"/>
  <c r="BJ57" i="18"/>
  <c r="BA58" i="18"/>
  <c r="BB58" i="18"/>
  <c r="BC58" i="18"/>
  <c r="BD58" i="18"/>
  <c r="BE58" i="18"/>
  <c r="BF58" i="18"/>
  <c r="BG58" i="18"/>
  <c r="BH58" i="18"/>
  <c r="BI58" i="18"/>
  <c r="BJ58" i="18"/>
  <c r="BA59" i="18"/>
  <c r="BB59" i="18"/>
  <c r="BC59" i="18"/>
  <c r="BD59" i="18"/>
  <c r="BE59" i="18"/>
  <c r="BF59" i="18"/>
  <c r="BG59" i="18"/>
  <c r="BH59" i="18"/>
  <c r="BI59" i="18"/>
  <c r="BJ59" i="18"/>
  <c r="BB60" i="18"/>
  <c r="BC60" i="18"/>
  <c r="BD60" i="18"/>
  <c r="BE60" i="18"/>
  <c r="BF60" i="18"/>
  <c r="BG60" i="18"/>
  <c r="BH60" i="18"/>
  <c r="BI60" i="18"/>
  <c r="BJ60" i="18"/>
  <c r="BB51" i="18"/>
  <c r="BC51" i="18"/>
  <c r="BD51" i="18"/>
  <c r="BE51" i="18"/>
  <c r="BF51" i="18"/>
  <c r="BG51" i="18"/>
  <c r="BH51" i="18"/>
  <c r="BI51" i="18"/>
  <c r="BJ51" i="18"/>
  <c r="BA51" i="18"/>
  <c r="AV81" i="18"/>
  <c r="AW81" i="18"/>
  <c r="AN82" i="18"/>
  <c r="AO82" i="18"/>
  <c r="AP82" i="18"/>
  <c r="AQ82" i="18"/>
  <c r="AS82" i="18"/>
  <c r="AT82" i="18"/>
  <c r="AU82" i="18"/>
  <c r="AV82" i="18"/>
  <c r="AW82" i="18"/>
  <c r="AW86" i="18"/>
  <c r="AO81" i="18"/>
  <c r="AQ81" i="18"/>
  <c r="AU81" i="18"/>
  <c r="AP83" i="18"/>
  <c r="AR83" i="18"/>
  <c r="AT83" i="18"/>
  <c r="AW83" i="18"/>
  <c r="AU84" i="18"/>
  <c r="AQ83" i="18"/>
  <c r="AS84" i="18"/>
  <c r="AS81" i="18"/>
  <c r="AN83" i="18"/>
  <c r="AS83" i="18"/>
  <c r="AO84" i="18"/>
  <c r="AQ84" i="18"/>
  <c r="AN81" i="18"/>
  <c r="AP81" i="18"/>
  <c r="AR81" i="18"/>
  <c r="AT81" i="18"/>
  <c r="AO83" i="18"/>
  <c r="AU83" i="18"/>
  <c r="AP84" i="18"/>
  <c r="AT84" i="18"/>
  <c r="AR82" i="18"/>
  <c r="AN84" i="18"/>
  <c r="AR84" i="18"/>
  <c r="AV83" i="18"/>
  <c r="AC80" i="18"/>
  <c r="AO80" i="18"/>
  <c r="AD80" i="18"/>
  <c r="AP80" i="18"/>
  <c r="AE80" i="18"/>
  <c r="AQ80" i="18"/>
  <c r="AF80" i="18"/>
  <c r="AR80" i="18"/>
  <c r="AG80" i="18"/>
  <c r="AS80" i="18"/>
  <c r="AH80" i="18"/>
  <c r="AT80" i="18"/>
  <c r="AI80" i="18"/>
  <c r="AU80" i="18"/>
  <c r="AJ80" i="18"/>
  <c r="AV80" i="18"/>
  <c r="AK80" i="18"/>
  <c r="AW80" i="18"/>
  <c r="AC81" i="18"/>
  <c r="BA92" i="18"/>
  <c r="AE83" i="18"/>
  <c r="BA94" i="18"/>
  <c r="AF84" i="18"/>
  <c r="BA95" i="18"/>
  <c r="AC21" i="18"/>
  <c r="AD21" i="18"/>
  <c r="AE21" i="18"/>
  <c r="AF21" i="18"/>
  <c r="AG21" i="18"/>
  <c r="AH21" i="18"/>
  <c r="AI21" i="18"/>
  <c r="AJ21" i="18"/>
  <c r="AC22" i="18"/>
  <c r="AD22" i="18"/>
  <c r="AE22" i="18"/>
  <c r="AF22" i="18"/>
  <c r="AG22" i="18"/>
  <c r="AH22" i="18"/>
  <c r="AI22" i="18"/>
  <c r="AJ22" i="18"/>
  <c r="AC23" i="18"/>
  <c r="AD23" i="18"/>
  <c r="AE23" i="18"/>
  <c r="AF23" i="18"/>
  <c r="AG23" i="18"/>
  <c r="AH23" i="18"/>
  <c r="AI23" i="18"/>
  <c r="AJ23" i="18"/>
  <c r="AC24" i="18"/>
  <c r="AD24" i="18"/>
  <c r="AE24" i="18"/>
  <c r="AF24" i="18"/>
  <c r="AG24" i="18"/>
  <c r="AI24" i="18"/>
  <c r="AJ24" i="18"/>
  <c r="AC25" i="18"/>
  <c r="AD25" i="18"/>
  <c r="AE25" i="18"/>
  <c r="AG25" i="18"/>
  <c r="AH25" i="18"/>
  <c r="AJ25" i="18"/>
  <c r="AC26" i="18"/>
  <c r="AE26" i="18"/>
  <c r="AF26" i="18"/>
  <c r="AH26" i="18"/>
  <c r="AJ26" i="18"/>
  <c r="AC27" i="18"/>
  <c r="AD28" i="18"/>
  <c r="AG28" i="18"/>
  <c r="AJ28" i="18"/>
  <c r="AC29" i="18"/>
  <c r="AE29" i="18"/>
  <c r="AH24" i="18"/>
  <c r="AF25" i="18"/>
  <c r="AI25" i="18"/>
  <c r="AK25" i="18"/>
  <c r="AD26" i="18"/>
  <c r="AG26" i="18"/>
  <c r="AI26" i="18"/>
  <c r="AK26" i="18"/>
  <c r="AE28" i="18"/>
  <c r="AH28" i="18"/>
  <c r="AK28" i="18"/>
  <c r="AD27" i="18"/>
  <c r="AE27" i="18"/>
  <c r="AF27" i="18"/>
  <c r="AG27" i="18"/>
  <c r="AH27" i="18"/>
  <c r="AI27" i="18"/>
  <c r="AJ27" i="18"/>
  <c r="AK27" i="18"/>
  <c r="AC28" i="18"/>
  <c r="AF28" i="18"/>
  <c r="AI28" i="18"/>
  <c r="AD29" i="18"/>
  <c r="AV84" i="18"/>
  <c r="AJ84" i="18"/>
  <c r="AK84" i="18"/>
  <c r="AW84" i="18"/>
  <c r="AN85" i="18"/>
  <c r="AB85" i="18"/>
  <c r="AO85" i="18"/>
  <c r="AC85" i="18"/>
  <c r="AP85" i="18"/>
  <c r="AD85" i="18"/>
  <c r="AQ85" i="18"/>
  <c r="AE85" i="18"/>
  <c r="AF85" i="18"/>
  <c r="AR85" i="18"/>
  <c r="AS85" i="18"/>
  <c r="AG85" i="18"/>
  <c r="AT85" i="18"/>
  <c r="AH85" i="18"/>
  <c r="AU85" i="18"/>
  <c r="AI85" i="18"/>
  <c r="AV85" i="18"/>
  <c r="AJ85" i="18"/>
  <c r="AW85" i="18"/>
  <c r="AK85" i="18"/>
  <c r="AN86" i="18"/>
  <c r="AB86" i="18"/>
  <c r="AC86" i="18"/>
  <c r="AO86" i="18"/>
  <c r="AD86" i="18"/>
  <c r="AP86" i="18"/>
  <c r="AE86" i="18"/>
  <c r="AQ86" i="18"/>
  <c r="AF86" i="18"/>
  <c r="AR86" i="18"/>
  <c r="AG86" i="18"/>
  <c r="AS86" i="18"/>
  <c r="AH86" i="18"/>
  <c r="AT86" i="18"/>
  <c r="AI86" i="18"/>
  <c r="AU86" i="18"/>
  <c r="AJ86" i="18"/>
  <c r="AV86" i="18"/>
  <c r="AB87" i="18"/>
  <c r="AN87" i="18"/>
  <c r="AC87" i="18"/>
  <c r="AO87" i="18"/>
  <c r="AD87" i="18"/>
  <c r="AP87" i="18"/>
  <c r="AE87" i="18"/>
  <c r="AQ87" i="18"/>
  <c r="AF87" i="18"/>
  <c r="AR87" i="18"/>
  <c r="AG87" i="18"/>
  <c r="AS87" i="18"/>
  <c r="AH87" i="18"/>
  <c r="AT87" i="18"/>
  <c r="AI87" i="18"/>
  <c r="AU87" i="18"/>
  <c r="AJ87" i="18"/>
  <c r="AV87" i="18"/>
  <c r="AK87" i="18"/>
  <c r="AW87" i="18"/>
  <c r="AN88" i="18"/>
  <c r="AB88" i="18"/>
  <c r="AC88" i="18"/>
  <c r="AO88" i="18"/>
  <c r="AD88" i="18"/>
  <c r="AP88" i="18"/>
  <c r="AE88" i="18"/>
  <c r="AQ88" i="18"/>
  <c r="AF88" i="18"/>
  <c r="AR88" i="18"/>
  <c r="AG88" i="18"/>
  <c r="AS88" i="18"/>
  <c r="AH88" i="18"/>
  <c r="AT88" i="18"/>
  <c r="AI88" i="18"/>
  <c r="AU88" i="18"/>
  <c r="AJ88" i="18"/>
  <c r="AV88" i="18"/>
  <c r="AK88" i="18"/>
  <c r="AW88" i="18"/>
  <c r="AB89" i="18"/>
  <c r="AN89" i="18"/>
  <c r="AC89" i="18"/>
  <c r="AO89" i="18"/>
  <c r="AD89" i="18"/>
  <c r="AP89" i="18"/>
  <c r="AE89" i="18"/>
  <c r="AQ89" i="18"/>
  <c r="AF89" i="18"/>
  <c r="AR89" i="18"/>
  <c r="AG89" i="18"/>
  <c r="AS89" i="18"/>
  <c r="AH89" i="18"/>
  <c r="AT89" i="18"/>
  <c r="AI89" i="18"/>
  <c r="AU89" i="18"/>
  <c r="AJ89" i="18"/>
  <c r="AV89" i="18"/>
  <c r="AK89" i="18"/>
  <c r="AW89" i="18"/>
  <c r="BA60" i="18"/>
  <c r="AF29" i="18"/>
  <c r="AG29" i="18"/>
  <c r="AH29" i="18"/>
  <c r="AI29" i="18"/>
  <c r="AJ29" i="18"/>
  <c r="AN21" i="18"/>
  <c r="BA68" i="18" s="1"/>
  <c r="AO21" i="18"/>
  <c r="BB68" i="18" s="1"/>
  <c r="AP21" i="18"/>
  <c r="BC68" i="18" s="1"/>
  <c r="AQ21" i="18"/>
  <c r="BD68" i="18" s="1"/>
  <c r="AR21" i="18"/>
  <c r="BE68" i="18" s="1"/>
  <c r="AS21" i="18"/>
  <c r="BF68" i="18" s="1"/>
  <c r="AT21" i="18"/>
  <c r="BG68" i="18" s="1"/>
  <c r="AP22" i="18"/>
  <c r="BC69" i="18" s="1"/>
  <c r="AQ22" i="18"/>
  <c r="BD69" i="18" s="1"/>
  <c r="AR22" i="18"/>
  <c r="BE69" i="18" s="1"/>
  <c r="AS22" i="18"/>
  <c r="BF69" i="18" s="1"/>
  <c r="AT22" i="18"/>
  <c r="BG69" i="18" s="1"/>
  <c r="AU22" i="18"/>
  <c r="BH69" i="18" s="1"/>
  <c r="AV22" i="18"/>
  <c r="BI69" i="18" s="1"/>
  <c r="AW22" i="18"/>
  <c r="BJ69" i="18" s="1"/>
  <c r="AN23" i="18"/>
  <c r="BA70" i="18" s="1"/>
  <c r="AO23" i="18"/>
  <c r="BB70" i="18" s="1"/>
  <c r="AU21" i="18"/>
  <c r="BH68" i="18" s="1"/>
  <c r="AV21" i="18"/>
  <c r="BI68" i="18" s="1"/>
  <c r="AW21" i="18"/>
  <c r="BJ68" i="18" s="1"/>
  <c r="AN22" i="18"/>
  <c r="BA69" i="18" s="1"/>
  <c r="AO22" i="18"/>
  <c r="BB69" i="18" s="1"/>
  <c r="AP23" i="18"/>
  <c r="BC70" i="18" s="1"/>
  <c r="AQ23" i="18"/>
  <c r="BD70" i="18" s="1"/>
  <c r="AR23" i="18"/>
  <c r="BE70" i="18" s="1"/>
  <c r="AS23" i="18"/>
  <c r="BF70" i="18" s="1"/>
  <c r="AT23" i="18"/>
  <c r="BG70" i="18" s="1"/>
  <c r="AU23" i="18"/>
  <c r="BH70" i="18" s="1"/>
  <c r="AV23" i="18"/>
  <c r="BI70" i="18" s="1"/>
  <c r="AW23" i="18"/>
  <c r="BJ70" i="18" s="1"/>
  <c r="AN24" i="18"/>
  <c r="BA71" i="18" s="1"/>
  <c r="AO24" i="18"/>
  <c r="BB71" i="18" s="1"/>
  <c r="AP24" i="18"/>
  <c r="BC71" i="18" s="1"/>
  <c r="AQ24" i="18"/>
  <c r="BD71" i="18" s="1"/>
  <c r="AR24" i="18"/>
  <c r="BE71" i="18" s="1"/>
  <c r="AS24" i="18"/>
  <c r="BF71" i="18" s="1"/>
  <c r="AT24" i="18"/>
  <c r="BG71" i="18" s="1"/>
  <c r="AU24" i="18"/>
  <c r="BH71" i="18" s="1"/>
  <c r="AV24" i="18"/>
  <c r="BI71" i="18" s="1"/>
  <c r="AW24" i="18"/>
  <c r="BJ71" i="18" s="1"/>
  <c r="AN25" i="18"/>
  <c r="BA72" i="18" s="1"/>
  <c r="AO25" i="18"/>
  <c r="BB72" i="18" s="1"/>
  <c r="AP25" i="18"/>
  <c r="BC72" i="18" s="1"/>
  <c r="AQ25" i="18"/>
  <c r="BD72" i="18" s="1"/>
  <c r="AR25" i="18"/>
  <c r="BE72" i="18" s="1"/>
  <c r="AS25" i="18"/>
  <c r="BF72" i="18" s="1"/>
  <c r="AT25" i="18"/>
  <c r="BG72" i="18" s="1"/>
  <c r="AU25" i="18"/>
  <c r="BH72" i="18" s="1"/>
  <c r="AV25" i="18"/>
  <c r="BI72" i="18" s="1"/>
  <c r="AW25" i="18"/>
  <c r="BJ72" i="18" s="1"/>
  <c r="AN26" i="18"/>
  <c r="BA73" i="18" s="1"/>
  <c r="AO26" i="18"/>
  <c r="BB73" i="18" s="1"/>
  <c r="AP26" i="18"/>
  <c r="BC73" i="18" s="1"/>
  <c r="AQ26" i="18"/>
  <c r="BD73" i="18" s="1"/>
  <c r="AR26" i="18"/>
  <c r="BE73" i="18" s="1"/>
  <c r="AS26" i="18"/>
  <c r="BF73" i="18" s="1"/>
  <c r="AT26" i="18"/>
  <c r="BG73" i="18" s="1"/>
  <c r="AU26" i="18"/>
  <c r="BH73" i="18" s="1"/>
  <c r="AV26" i="18"/>
  <c r="BI73" i="18" s="1"/>
  <c r="AW26" i="18"/>
  <c r="BJ73" i="18" s="1"/>
  <c r="AN27" i="18"/>
  <c r="BA74" i="18" s="1"/>
  <c r="AO27" i="18"/>
  <c r="BB74" i="18" s="1"/>
  <c r="AP27" i="18"/>
  <c r="BC74" i="18" s="1"/>
  <c r="AQ27" i="18"/>
  <c r="BD74" i="18" s="1"/>
  <c r="AR27" i="18"/>
  <c r="BE74" i="18" s="1"/>
  <c r="AS27" i="18"/>
  <c r="BF74" i="18" s="1"/>
  <c r="AT27" i="18"/>
  <c r="BG74" i="18" s="1"/>
  <c r="AU27" i="18"/>
  <c r="BH74" i="18" s="1"/>
  <c r="AV27" i="18"/>
  <c r="BI74" i="18" s="1"/>
  <c r="AW27" i="18"/>
  <c r="BJ74" i="18" s="1"/>
  <c r="AN28" i="18"/>
  <c r="BA75" i="18" s="1"/>
  <c r="AO28" i="18"/>
  <c r="BB75" i="18" s="1"/>
  <c r="AP28" i="18"/>
  <c r="BC75" i="18" s="1"/>
  <c r="AQ28" i="18"/>
  <c r="BD75" i="18" s="1"/>
  <c r="AR28" i="18"/>
  <c r="BE75" i="18" s="1"/>
  <c r="AS28" i="18"/>
  <c r="BF75" i="18" s="1"/>
  <c r="AT28" i="18"/>
  <c r="BG75" i="18" s="1"/>
  <c r="AU28" i="18"/>
  <c r="BH75" i="18" s="1"/>
  <c r="AV28" i="18"/>
  <c r="BI75" i="18" s="1"/>
  <c r="AW28" i="18"/>
  <c r="BJ75" i="18" s="1"/>
  <c r="AN29" i="18"/>
  <c r="BA76" i="18" s="1"/>
  <c r="AO29" i="18"/>
  <c r="BB76" i="18" s="1"/>
  <c r="AP29" i="18"/>
  <c r="BC76" i="18" s="1"/>
  <c r="AQ29" i="18"/>
  <c r="BD76" i="18" s="1"/>
  <c r="AR29" i="18"/>
  <c r="BE76" i="18" s="1"/>
  <c r="AS29" i="18"/>
  <c r="BF76" i="18" s="1"/>
  <c r="AT29" i="18"/>
  <c r="BG76" i="18" s="1"/>
  <c r="AU29" i="18"/>
  <c r="BH76" i="18" s="1"/>
  <c r="AV29" i="18"/>
  <c r="BI76" i="18" s="1"/>
  <c r="AW29" i="18"/>
  <c r="BJ76" i="18" s="1"/>
  <c r="AO20" i="18"/>
  <c r="BB67" i="18" s="1"/>
  <c r="AP20" i="18"/>
  <c r="BC67" i="18" s="1"/>
  <c r="AQ20" i="18"/>
  <c r="BD67" i="18" s="1"/>
  <c r="AR20" i="18"/>
  <c r="BE67" i="18" s="1"/>
  <c r="AS20" i="18"/>
  <c r="BF67" i="18" s="1"/>
  <c r="AT20" i="18"/>
  <c r="BG67" i="18" s="1"/>
  <c r="AU20" i="18"/>
  <c r="BH67" i="18" s="1"/>
  <c r="AV20" i="18"/>
  <c r="BI67" i="18" s="1"/>
  <c r="AW20" i="18"/>
  <c r="BJ67" i="18" s="1"/>
  <c r="AN20" i="18"/>
  <c r="BA67" i="18" s="1"/>
  <c r="AK24" i="18"/>
  <c r="AK21" i="18"/>
  <c r="AK22" i="18"/>
  <c r="AK23" i="18"/>
  <c r="AK29" i="18"/>
  <c r="AB21" i="18"/>
  <c r="AB22" i="18"/>
  <c r="AB23" i="18"/>
  <c r="AB24" i="18"/>
  <c r="AB25" i="18"/>
  <c r="AB27" i="18"/>
  <c r="AB29" i="18"/>
  <c r="AE20" i="18"/>
  <c r="AB20" i="18"/>
</calcChain>
</file>

<file path=xl/sharedStrings.xml><?xml version="1.0" encoding="utf-8"?>
<sst xmlns="http://schemas.openxmlformats.org/spreadsheetml/2006/main" count="359" uniqueCount="47">
  <si>
    <t>Speed 50</t>
  </si>
  <si>
    <t>Speed 100</t>
  </si>
  <si>
    <t>Accel 100</t>
  </si>
  <si>
    <t xml:space="preserve"> 10 8.876</t>
  </si>
  <si>
    <t xml:space="preserve"> 20 4.666</t>
  </si>
  <si>
    <t xml:space="preserve"> 30 3.304</t>
  </si>
  <si>
    <t xml:space="preserve"> 40 2.646</t>
  </si>
  <si>
    <t xml:space="preserve"> 50 2.261</t>
  </si>
  <si>
    <t xml:space="preserve"> 60 2.019</t>
  </si>
  <si>
    <t xml:space="preserve"> 70 1.855</t>
  </si>
  <si>
    <t xml:space="preserve"> 80 1.739</t>
  </si>
  <si>
    <t xml:space="preserve"> 90 1.657</t>
  </si>
  <si>
    <t xml:space="preserve"> 100 1.599</t>
  </si>
  <si>
    <t>Accel 50</t>
  </si>
  <si>
    <t>Time</t>
  </si>
  <si>
    <t>Power</t>
  </si>
  <si>
    <t>Speed</t>
  </si>
  <si>
    <t>Accel</t>
  </si>
  <si>
    <t>Row Labels</t>
  </si>
  <si>
    <t>Grand Total</t>
  </si>
  <si>
    <t>Column Labels</t>
  </si>
  <si>
    <t>Sum of Time</t>
  </si>
  <si>
    <t>(blank)</t>
  </si>
  <si>
    <t>Power Usage (J)</t>
  </si>
  <si>
    <t>Regen Saved (J)</t>
  </si>
  <si>
    <t>Move Duration (s)</t>
  </si>
  <si>
    <t>Move Start (s)</t>
  </si>
  <si>
    <t>Move End (s)</t>
  </si>
  <si>
    <t>Sum of Power Usage (J)</t>
  </si>
  <si>
    <t>Count of Time</t>
  </si>
  <si>
    <t>Average Time</t>
  </si>
  <si>
    <t>Average Power All</t>
  </si>
  <si>
    <t>`</t>
  </si>
  <si>
    <t>Acceleration</t>
  </si>
  <si>
    <t>Energy Model no Idle</t>
  </si>
  <si>
    <t>Sum of Move Duration (s)</t>
  </si>
  <si>
    <t>Simulated Time</t>
  </si>
  <si>
    <t>Updated Energy Model</t>
  </si>
  <si>
    <t>NCC Curve Data 80% Percentile</t>
  </si>
  <si>
    <t>Real Time</t>
  </si>
  <si>
    <t>Percentage Difference in Time</t>
  </si>
  <si>
    <t>Percentage Change from 20% Trimme Data</t>
  </si>
  <si>
    <t>20% Trimmed No Idle</t>
  </si>
  <si>
    <t>20% Trimmed Power Usage</t>
  </si>
  <si>
    <t>NCC Percentage Change from Energy Model</t>
  </si>
  <si>
    <t>NCC Curve Data 80% Percentile Raw Power Change from 20% Trimmed Values</t>
  </si>
  <si>
    <t>NCC Curve Data 80% Percentile Percentage Change from 20% Trimmed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</si>
</sst>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%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/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/>
    <xf numFmtId="164" fontId="0" fillId="0" borderId="8" xfId="0" applyNumberFormat="1" applyBorder="1"/>
    <xf numFmtId="164" fontId="0" fillId="0" borderId="9" xfId="0" applyNumberFormat="1" applyBorder="1"/>
    <xf numFmtId="164" fontId="0" fillId="0" borderId="10" xfId="0" applyNumberFormat="1" applyBorder="1"/>
    <xf numFmtId="164" fontId="0" fillId="0" borderId="11" xfId="0" applyNumberFormat="1" applyBorder="1"/>
    <xf numFmtId="164" fontId="0" fillId="0" borderId="12" xfId="0" applyNumberFormat="1" applyBorder="1"/>
    <xf numFmtId="164" fontId="0" fillId="0" borderId="13" xfId="0" applyNumberFormat="1" applyBorder="1"/>
    <xf numFmtId="164" fontId="0" fillId="0" borderId="14" xfId="0" applyNumberFormat="1" applyBorder="1"/>
    <xf numFmtId="164" fontId="0" fillId="0" borderId="15" xfId="0" applyNumberFormat="1" applyBorder="1"/>
    <xf numFmtId="0" fontId="0" fillId="0" borderId="8" xfId="0" applyBorder="1"/>
    <xf numFmtId="0" fontId="2" fillId="0" borderId="8" xfId="0" applyFont="1" applyBorder="1"/>
    <xf numFmtId="0" fontId="2" fillId="0" borderId="2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164" fontId="2" fillId="0" borderId="8" xfId="0" applyNumberFormat="1" applyFont="1" applyBorder="1"/>
    <xf numFmtId="164" fontId="2" fillId="0" borderId="9" xfId="0" applyNumberFormat="1" applyFont="1" applyBorder="1"/>
    <xf numFmtId="164" fontId="2" fillId="0" borderId="10" xfId="0" applyNumberFormat="1" applyFont="1" applyBorder="1"/>
    <xf numFmtId="164" fontId="2" fillId="0" borderId="11" xfId="0" applyNumberFormat="1" applyFont="1" applyBorder="1"/>
    <xf numFmtId="164" fontId="2" fillId="0" borderId="0" xfId="0" applyNumberFormat="1" applyFont="1"/>
    <xf numFmtId="164" fontId="2" fillId="0" borderId="12" xfId="0" applyNumberFormat="1" applyFont="1" applyBorder="1"/>
    <xf numFmtId="0" fontId="2" fillId="0" borderId="7" xfId="0" applyFont="1" applyBorder="1"/>
    <xf numFmtId="164" fontId="2" fillId="0" borderId="13" xfId="0" applyNumberFormat="1" applyFont="1" applyBorder="1"/>
    <xf numFmtId="164" fontId="2" fillId="0" borderId="14" xfId="0" applyNumberFormat="1" applyFont="1" applyBorder="1"/>
    <xf numFmtId="164" fontId="2" fillId="0" borderId="15" xfId="0" applyNumberFormat="1" applyFont="1" applyBorder="1"/>
    <xf numFmtId="0" fontId="2" fillId="0" borderId="0" xfId="0" applyFont="1"/>
    <xf numFmtId="2" fontId="2" fillId="0" borderId="8" xfId="0" applyNumberFormat="1" applyFont="1" applyBorder="1"/>
    <xf numFmtId="2" fontId="2" fillId="0" borderId="9" xfId="0" applyNumberFormat="1" applyFont="1" applyBorder="1"/>
    <xf numFmtId="2" fontId="2" fillId="0" borderId="10" xfId="0" applyNumberFormat="1" applyFont="1" applyBorder="1"/>
    <xf numFmtId="2" fontId="2" fillId="0" borderId="11" xfId="0" applyNumberFormat="1" applyFont="1" applyBorder="1"/>
    <xf numFmtId="2" fontId="2" fillId="0" borderId="0" xfId="0" applyNumberFormat="1" applyFont="1"/>
    <xf numFmtId="2" fontId="2" fillId="0" borderId="12" xfId="0" applyNumberFormat="1" applyFont="1" applyBorder="1"/>
    <xf numFmtId="2" fontId="2" fillId="0" borderId="13" xfId="0" applyNumberFormat="1" applyFont="1" applyBorder="1"/>
    <xf numFmtId="2" fontId="2" fillId="0" borderId="14" xfId="0" applyNumberFormat="1" applyFont="1" applyBorder="1"/>
    <xf numFmtId="2" fontId="2" fillId="0" borderId="15" xfId="0" applyNumberFormat="1" applyFont="1" applyBorder="1"/>
    <xf numFmtId="166" fontId="2" fillId="0" borderId="0" xfId="0" applyNumberFormat="1" applyFont="1"/>
    <xf numFmtId="166" fontId="2" fillId="0" borderId="12" xfId="0" applyNumberFormat="1" applyFont="1" applyBorder="1"/>
    <xf numFmtId="166" fontId="2" fillId="0" borderId="14" xfId="0" applyNumberFormat="1" applyFont="1" applyBorder="1"/>
    <xf numFmtId="166" fontId="2" fillId="0" borderId="15" xfId="0" applyNumberFormat="1" applyFont="1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3" xfId="0" applyFont="1" applyBorder="1" applyAlignment="1"/>
    <xf numFmtId="0" fontId="2" fillId="0" borderId="4" xfId="0" applyFont="1" applyBorder="1" applyAlignment="1"/>
    <xf numFmtId="0" fontId="2" fillId="0" borderId="5" xfId="0" applyFont="1" applyBorder="1" applyAlignment="1"/>
    <xf numFmtId="0" fontId="2" fillId="0" borderId="0" xfId="0" applyFont="1" applyBorder="1"/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9736D"/>
      <color rgb="FFFCC4C5"/>
      <color rgb="FFF57373"/>
      <color rgb="FF91DA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3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5" Type="http://schemas.openxmlformats.org/officeDocument/2006/relationships/pivotCacheDefinition" Target="pivotCache/pivotCacheDefinition10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pivotCacheDefinition" Target="pivotCache/pivotCacheDefinition5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9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8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4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7.xml"/><Relationship Id="rId27" Type="http://schemas.openxmlformats.org/officeDocument/2006/relationships/styles" Target="styles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'Accel Curve'!$D$2:$D$11</c:f>
              <c:numCache>
                <c:formatCode>General</c:formatCode>
                <c:ptCount val="10"/>
                <c:pt idx="0">
                  <c:v>1</c:v>
                </c:pt>
                <c:pt idx="1">
                  <c:v>0.70328392909038073</c:v>
                </c:pt>
                <c:pt idx="2">
                  <c:v>0.57977332170880569</c:v>
                </c:pt>
                <c:pt idx="3">
                  <c:v>0.50624818366753854</c:v>
                </c:pt>
                <c:pt idx="4">
                  <c:v>0.46469049694856146</c:v>
                </c:pt>
                <c:pt idx="5">
                  <c:v>0.43562917756466146</c:v>
                </c:pt>
                <c:pt idx="6">
                  <c:v>0.41499564080209239</c:v>
                </c:pt>
                <c:pt idx="7">
                  <c:v>0.40133682069165943</c:v>
                </c:pt>
                <c:pt idx="8">
                  <c:v>0.39116535890729442</c:v>
                </c:pt>
                <c:pt idx="9">
                  <c:v>0.38273757628596339</c:v>
                </c:pt>
              </c:numCache>
            </c:numRef>
          </c:xVal>
          <c:yVal>
            <c:numRef>
              <c:f>'Accel Curve'!$C$2:$C$11</c:f>
              <c:numCache>
                <c:formatCode>General</c:formatCode>
                <c:ptCount val="10"/>
                <c:pt idx="0">
                  <c:v>621.86000000000013</c:v>
                </c:pt>
                <c:pt idx="1">
                  <c:v>570.18000000000018</c:v>
                </c:pt>
                <c:pt idx="2">
                  <c:v>541.87</c:v>
                </c:pt>
                <c:pt idx="3">
                  <c:v>504.09000000000009</c:v>
                </c:pt>
                <c:pt idx="4">
                  <c:v>511.9199999999999</c:v>
                </c:pt>
                <c:pt idx="5">
                  <c:v>470.73</c:v>
                </c:pt>
                <c:pt idx="6">
                  <c:v>470.3</c:v>
                </c:pt>
                <c:pt idx="7">
                  <c:v>462.99000000000007</c:v>
                </c:pt>
                <c:pt idx="8">
                  <c:v>457.11000000000007</c:v>
                </c:pt>
                <c:pt idx="9">
                  <c:v>462.22000000000008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14-48CF-BA5A-BE4C422D1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848256"/>
        <c:axId val="1557546064"/>
      </c:scatterChart>
      <c:valAx>
        <c:axId val="486848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546064"/>
        <c:crosses val="autoZero"/>
        <c:crossBetween val="midCat"/>
      </c:valAx>
      <c:valAx>
        <c:axId val="155754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848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'Speed Curve'!$B$2:$B$11</c:f>
              <c:numCache>
                <c:formatCode>General</c:formatCode>
                <c:ptCount val="10"/>
                <c:pt idx="0">
                  <c:v>8.7759999999999998</c:v>
                </c:pt>
                <c:pt idx="1">
                  <c:v>4.548</c:v>
                </c:pt>
                <c:pt idx="2">
                  <c:v>3.1579999999999999</c:v>
                </c:pt>
                <c:pt idx="3">
                  <c:v>2.476</c:v>
                </c:pt>
                <c:pt idx="4">
                  <c:v>2.073</c:v>
                </c:pt>
                <c:pt idx="5">
                  <c:v>1.8129999999999999</c:v>
                </c:pt>
                <c:pt idx="6">
                  <c:v>1.63</c:v>
                </c:pt>
                <c:pt idx="7">
                  <c:v>1.4970000000000001</c:v>
                </c:pt>
                <c:pt idx="8">
                  <c:v>1.397</c:v>
                </c:pt>
                <c:pt idx="9">
                  <c:v>1.3169999999999999</c:v>
                </c:pt>
              </c:numCache>
            </c:numRef>
          </c:xVal>
          <c:yVal>
            <c:numRef>
              <c:f>'Speed Curve'!$C$2:$C$11</c:f>
              <c:numCache>
                <c:formatCode>General</c:formatCode>
                <c:ptCount val="10"/>
                <c:pt idx="0">
                  <c:v>1070.4999999999998</c:v>
                </c:pt>
                <c:pt idx="1">
                  <c:v>676.71</c:v>
                </c:pt>
                <c:pt idx="2">
                  <c:v>555.47000000000014</c:v>
                </c:pt>
                <c:pt idx="3">
                  <c:v>520.12</c:v>
                </c:pt>
                <c:pt idx="4">
                  <c:v>521.12</c:v>
                </c:pt>
                <c:pt idx="5">
                  <c:v>499.42000000000007</c:v>
                </c:pt>
                <c:pt idx="6">
                  <c:v>441.45000000000005</c:v>
                </c:pt>
                <c:pt idx="7">
                  <c:v>501.14999999999992</c:v>
                </c:pt>
                <c:pt idx="8">
                  <c:v>469.23</c:v>
                </c:pt>
                <c:pt idx="9">
                  <c:v>482.96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30-4150-9596-D87002FFC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7144768"/>
        <c:axId val="1067145728"/>
      </c:scatterChart>
      <c:valAx>
        <c:axId val="1067144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145728"/>
        <c:crosses val="autoZero"/>
        <c:crossBetween val="midCat"/>
      </c:valAx>
      <c:valAx>
        <c:axId val="106714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144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'Power Calculations'!$AA$66:$AA$75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'Power Calculations'!$AB$66:$AB$75</c:f>
              <c:numCache>
                <c:formatCode>0.0</c:formatCode>
                <c:ptCount val="10"/>
                <c:pt idx="0">
                  <c:v>188.40452156600008</c:v>
                </c:pt>
                <c:pt idx="1">
                  <c:v>241.26041630200001</c:v>
                </c:pt>
                <c:pt idx="2">
                  <c:v>260.71617586800005</c:v>
                </c:pt>
                <c:pt idx="3">
                  <c:v>268.72638513200002</c:v>
                </c:pt>
                <c:pt idx="4">
                  <c:v>269.53987657799996</c:v>
                </c:pt>
                <c:pt idx="5">
                  <c:v>269.53987657799996</c:v>
                </c:pt>
                <c:pt idx="6">
                  <c:v>269.53987657799996</c:v>
                </c:pt>
                <c:pt idx="7">
                  <c:v>269.53987657799996</c:v>
                </c:pt>
                <c:pt idx="8">
                  <c:v>269.53987657799996</c:v>
                </c:pt>
                <c:pt idx="9">
                  <c:v>269.53987657799996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F2A-4166-A5BE-C658249389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('Power Calculations'!$AA$66:$AA$75,'Power Calculations'!$AC$66:$AC$75)</c:f>
              <c:numCache>
                <c:formatCode>General</c:formatCode>
                <c:ptCount val="2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 formatCode="0.0">
                  <c:v>189.61653605399999</c:v>
                </c:pt>
                <c:pt idx="11" formatCode="0.0">
                  <c:v>246.15017427799995</c:v>
                </c:pt>
                <c:pt idx="12" formatCode="0.0">
                  <c:v>270.43426133199995</c:v>
                </c:pt>
                <c:pt idx="13" formatCode="0.0">
                  <c:v>285.543664122</c:v>
                </c:pt>
                <c:pt idx="14" formatCode="0.0">
                  <c:v>296.19906521399997</c:v>
                </c:pt>
                <c:pt idx="15" formatCode="0.0">
                  <c:v>302.08581039999996</c:v>
                </c:pt>
                <c:pt idx="16" formatCode="0.0">
                  <c:v>302.73784292599998</c:v>
                </c:pt>
                <c:pt idx="17" formatCode="0.0">
                  <c:v>302.73784292599998</c:v>
                </c:pt>
                <c:pt idx="18" formatCode="0.0">
                  <c:v>302.73784292599998</c:v>
                </c:pt>
                <c:pt idx="19" formatCode="0.0">
                  <c:v>302.73784292599998</c:v>
                </c:pt>
              </c:numCache>
            </c:numRef>
          </c:xVal>
          <c:yVal>
            <c:numRef>
              <c:f>'Power Calculations'!$AC$66:$AC$75</c:f>
              <c:numCache>
                <c:formatCode>0.0</c:formatCode>
                <c:ptCount val="10"/>
                <c:pt idx="0">
                  <c:v>189.61653605399999</c:v>
                </c:pt>
                <c:pt idx="1">
                  <c:v>246.15017427799995</c:v>
                </c:pt>
                <c:pt idx="2">
                  <c:v>270.43426133199995</c:v>
                </c:pt>
                <c:pt idx="3">
                  <c:v>285.543664122</c:v>
                </c:pt>
                <c:pt idx="4">
                  <c:v>296.19906521399997</c:v>
                </c:pt>
                <c:pt idx="5">
                  <c:v>302.08581039999996</c:v>
                </c:pt>
                <c:pt idx="6">
                  <c:v>302.73784292599998</c:v>
                </c:pt>
                <c:pt idx="7">
                  <c:v>302.73784292599998</c:v>
                </c:pt>
                <c:pt idx="8">
                  <c:v>302.73784292599998</c:v>
                </c:pt>
                <c:pt idx="9">
                  <c:v>302.73784292599998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F2A-4166-A5BE-C658249389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'Power Calculations'!$AA$66:$AA$75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'Power Calculations'!$AD$66:$AD$75</c:f>
              <c:numCache>
                <c:formatCode>0.0</c:formatCode>
                <c:ptCount val="10"/>
                <c:pt idx="0">
                  <c:v>189.81798671600006</c:v>
                </c:pt>
                <c:pt idx="1">
                  <c:v>247.58579560199996</c:v>
                </c:pt>
                <c:pt idx="2">
                  <c:v>273.49035124200003</c:v>
                </c:pt>
                <c:pt idx="3">
                  <c:v>290.85877077000004</c:v>
                </c:pt>
                <c:pt idx="4">
                  <c:v>304.87948244799998</c:v>
                </c:pt>
                <c:pt idx="5">
                  <c:v>316.07837429599999</c:v>
                </c:pt>
                <c:pt idx="6">
                  <c:v>323.34238529000004</c:v>
                </c:pt>
                <c:pt idx="7">
                  <c:v>325.31293120999999</c:v>
                </c:pt>
                <c:pt idx="8">
                  <c:v>325.31293120999999</c:v>
                </c:pt>
                <c:pt idx="9">
                  <c:v>325.31293120999999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F2A-4166-A5BE-C658249389B5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'Power Calculations'!$AA$66:$AA$75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'Power Calculations'!$AE$66:$AE$75</c:f>
              <c:numCache>
                <c:formatCode>0.0</c:formatCode>
                <c:ptCount val="10"/>
                <c:pt idx="0">
                  <c:v>189.85530381600017</c:v>
                </c:pt>
                <c:pt idx="1">
                  <c:v>248.36716480200005</c:v>
                </c:pt>
                <c:pt idx="2">
                  <c:v>275.09009657999997</c:v>
                </c:pt>
                <c:pt idx="3">
                  <c:v>293.75783717000002</c:v>
                </c:pt>
                <c:pt idx="4">
                  <c:v>309.79896394799994</c:v>
                </c:pt>
                <c:pt idx="5">
                  <c:v>323.93375097199998</c:v>
                </c:pt>
                <c:pt idx="6">
                  <c:v>335.46158699</c:v>
                </c:pt>
                <c:pt idx="7">
                  <c:v>343.21375260400004</c:v>
                </c:pt>
                <c:pt idx="8">
                  <c:v>345.97424819000003</c:v>
                </c:pt>
                <c:pt idx="9">
                  <c:v>345.97424819000003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F2A-4166-A5BE-C658249389B5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'Power Calculations'!$AA$66:$AA$75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'Power Calculations'!$AF$66:$AF$75</c:f>
              <c:numCache>
                <c:formatCode>0.0</c:formatCode>
                <c:ptCount val="10"/>
                <c:pt idx="0">
                  <c:v>189.80746160399997</c:v>
                </c:pt>
                <c:pt idx="1">
                  <c:v>248.80719137799997</c:v>
                </c:pt>
                <c:pt idx="2">
                  <c:v>276.02678694399992</c:v>
                </c:pt>
                <c:pt idx="3">
                  <c:v>295.43174328399999</c:v>
                </c:pt>
                <c:pt idx="4">
                  <c:v>312.65552788800005</c:v>
                </c:pt>
                <c:pt idx="5">
                  <c:v>328.65105566200003</c:v>
                </c:pt>
                <c:pt idx="6">
                  <c:v>342.823645468</c:v>
                </c:pt>
                <c:pt idx="7">
                  <c:v>354.20656390800002</c:v>
                </c:pt>
                <c:pt idx="8">
                  <c:v>361.75713499000005</c:v>
                </c:pt>
                <c:pt idx="9">
                  <c:v>364.44619176599997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F2A-4166-A5BE-C658249389B5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'Power Calculations'!$AA$66:$AA$75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'Power Calculations'!$AG$66:$AG$75</c:f>
              <c:numCache>
                <c:formatCode>0.0</c:formatCode>
                <c:ptCount val="10"/>
                <c:pt idx="0">
                  <c:v>189.78048160000003</c:v>
                </c:pt>
                <c:pt idx="1">
                  <c:v>249.14883740799996</c:v>
                </c:pt>
                <c:pt idx="2">
                  <c:v>276.58613700799998</c:v>
                </c:pt>
                <c:pt idx="3">
                  <c:v>296.45708330600007</c:v>
                </c:pt>
                <c:pt idx="4">
                  <c:v>314.402947982</c:v>
                </c:pt>
                <c:pt idx="5">
                  <c:v>331.53759571399996</c:v>
                </c:pt>
                <c:pt idx="6">
                  <c:v>347.41790959200006</c:v>
                </c:pt>
                <c:pt idx="7">
                  <c:v>361.10646299000001</c:v>
                </c:pt>
                <c:pt idx="8">
                  <c:v>371.66843810599994</c:v>
                </c:pt>
                <c:pt idx="9">
                  <c:v>378.22219139799995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F2A-4166-A5BE-C658249389B5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'Power Calculations'!$AA$66:$AA$75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'Power Calculations'!$AH$66:$AH$75</c:f>
              <c:numCache>
                <c:formatCode>0.0</c:formatCode>
                <c:ptCount val="10"/>
                <c:pt idx="0">
                  <c:v>189.766922034</c:v>
                </c:pt>
                <c:pt idx="1">
                  <c:v>249.38260727599999</c:v>
                </c:pt>
                <c:pt idx="2">
                  <c:v>277.01270530999994</c:v>
                </c:pt>
                <c:pt idx="3">
                  <c:v>297.16635008000003</c:v>
                </c:pt>
                <c:pt idx="4">
                  <c:v>315.63527115199997</c:v>
                </c:pt>
                <c:pt idx="5">
                  <c:v>333.60481435600002</c:v>
                </c:pt>
                <c:pt idx="6">
                  <c:v>350.69226462999995</c:v>
                </c:pt>
                <c:pt idx="7">
                  <c:v>366.10841342399999</c:v>
                </c:pt>
                <c:pt idx="8">
                  <c:v>378.88204201199994</c:v>
                </c:pt>
                <c:pt idx="9">
                  <c:v>388.24287473799995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F2A-4166-A5BE-C658249389B5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'Power Calculations'!$AA$66:$AA$75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'Power Calculations'!$AI$66:$AI$75</c:f>
              <c:numCache>
                <c:formatCode>0.0</c:formatCode>
                <c:ptCount val="10"/>
                <c:pt idx="0">
                  <c:v>189.76135133399998</c:v>
                </c:pt>
                <c:pt idx="1">
                  <c:v>249.55977983800005</c:v>
                </c:pt>
                <c:pt idx="2">
                  <c:v>277.26211817199999</c:v>
                </c:pt>
                <c:pt idx="3">
                  <c:v>297.63242424199996</c:v>
                </c:pt>
                <c:pt idx="4">
                  <c:v>316.447107614</c:v>
                </c:pt>
                <c:pt idx="5">
                  <c:v>334.90600111799995</c:v>
                </c:pt>
                <c:pt idx="6">
                  <c:v>352.76721269200004</c:v>
                </c:pt>
                <c:pt idx="7">
                  <c:v>369.26636782399999</c:v>
                </c:pt>
                <c:pt idx="8">
                  <c:v>383.51447763600004</c:v>
                </c:pt>
                <c:pt idx="9">
                  <c:v>394.66081370000006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F2A-4166-A5BE-C658249389B5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'Power Calculations'!$AA$66:$AA$75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'Power Calculations'!$AJ$66:$AJ$75</c:f>
              <c:numCache>
                <c:formatCode>0.0</c:formatCode>
                <c:ptCount val="10"/>
                <c:pt idx="0">
                  <c:v>189.75901432199987</c:v>
                </c:pt>
                <c:pt idx="1">
                  <c:v>249.68502077599999</c:v>
                </c:pt>
                <c:pt idx="2">
                  <c:v>277.46563509799995</c:v>
                </c:pt>
                <c:pt idx="3">
                  <c:v>297.98572911799994</c:v>
                </c:pt>
                <c:pt idx="4">
                  <c:v>317.00836947799996</c:v>
                </c:pt>
                <c:pt idx="5">
                  <c:v>335.81293593199996</c:v>
                </c:pt>
                <c:pt idx="6">
                  <c:v>354.23056045600003</c:v>
                </c:pt>
                <c:pt idx="7">
                  <c:v>371.48546957600001</c:v>
                </c:pt>
                <c:pt idx="8">
                  <c:v>386.78739337599995</c:v>
                </c:pt>
                <c:pt idx="9">
                  <c:v>399.26222835200008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F2A-4166-A5BE-C658249389B5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'Power Calculations'!$AA$66:$AA$75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'Power Calculations'!$AK$66:$AK$75</c:f>
              <c:numCache>
                <c:formatCode>0.0</c:formatCode>
                <c:ptCount val="10"/>
                <c:pt idx="0">
                  <c:v>189.75816976600004</c:v>
                </c:pt>
                <c:pt idx="1">
                  <c:v>249.79493874000002</c:v>
                </c:pt>
                <c:pt idx="2">
                  <c:v>277.63446354399997</c:v>
                </c:pt>
                <c:pt idx="3">
                  <c:v>298.32395008400005</c:v>
                </c:pt>
                <c:pt idx="4">
                  <c:v>317.60200588800001</c:v>
                </c:pt>
                <c:pt idx="5">
                  <c:v>336.799547824</c:v>
                </c:pt>
                <c:pt idx="6">
                  <c:v>355.76625082999999</c:v>
                </c:pt>
                <c:pt idx="7">
                  <c:v>373.84169739400005</c:v>
                </c:pt>
                <c:pt idx="8">
                  <c:v>390.23743567600002</c:v>
                </c:pt>
                <c:pt idx="9">
                  <c:v>404.15617317200002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F2A-4166-A5BE-C65824938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075151"/>
        <c:axId val="2130071791"/>
      </c:scatterChart>
      <c:valAx>
        <c:axId val="213007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071791"/>
        <c:crosses val="autoZero"/>
        <c:crossBetween val="midCat"/>
      </c:valAx>
      <c:valAx>
        <c:axId val="2130071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075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'Power Calculations'!$AA$66:$AA$75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'Power Calculations'!$AB$66:$AK$66</c:f>
              <c:numCache>
                <c:formatCode>0.0</c:formatCode>
                <c:ptCount val="10"/>
                <c:pt idx="0">
                  <c:v>188.40452156600008</c:v>
                </c:pt>
                <c:pt idx="1">
                  <c:v>189.61653605399999</c:v>
                </c:pt>
                <c:pt idx="2">
                  <c:v>189.81798671600006</c:v>
                </c:pt>
                <c:pt idx="3">
                  <c:v>189.85530381600017</c:v>
                </c:pt>
                <c:pt idx="4">
                  <c:v>189.80746160399997</c:v>
                </c:pt>
                <c:pt idx="5">
                  <c:v>189.78048160000003</c:v>
                </c:pt>
                <c:pt idx="6">
                  <c:v>189.766922034</c:v>
                </c:pt>
                <c:pt idx="7">
                  <c:v>189.76135133399998</c:v>
                </c:pt>
                <c:pt idx="8">
                  <c:v>189.75901432199987</c:v>
                </c:pt>
                <c:pt idx="9">
                  <c:v>189.75816976600004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D8-4BD2-B709-57EBAF2B89A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('Power Calculations'!$AA$66:$AA$75,'Power Calculations'!$AC$66:$AC$75)</c:f>
              <c:numCache>
                <c:formatCode>General</c:formatCode>
                <c:ptCount val="2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 formatCode="0.0">
                  <c:v>189.61653605399999</c:v>
                </c:pt>
                <c:pt idx="11" formatCode="0.0">
                  <c:v>246.15017427799995</c:v>
                </c:pt>
                <c:pt idx="12" formatCode="0.0">
                  <c:v>270.43426133199995</c:v>
                </c:pt>
                <c:pt idx="13" formatCode="0.0">
                  <c:v>285.543664122</c:v>
                </c:pt>
                <c:pt idx="14" formatCode="0.0">
                  <c:v>296.19906521399997</c:v>
                </c:pt>
                <c:pt idx="15" formatCode="0.0">
                  <c:v>302.08581039999996</c:v>
                </c:pt>
                <c:pt idx="16" formatCode="0.0">
                  <c:v>302.73784292599998</c:v>
                </c:pt>
                <c:pt idx="17" formatCode="0.0">
                  <c:v>302.73784292599998</c:v>
                </c:pt>
                <c:pt idx="18" formatCode="0.0">
                  <c:v>302.73784292599998</c:v>
                </c:pt>
                <c:pt idx="19" formatCode="0.0">
                  <c:v>302.73784292599998</c:v>
                </c:pt>
              </c:numCache>
            </c:numRef>
          </c:xVal>
          <c:yVal>
            <c:numRef>
              <c:f>'Power Calculations'!$AB$67:$AK$67</c:f>
              <c:numCache>
                <c:formatCode>0.0</c:formatCode>
                <c:ptCount val="10"/>
                <c:pt idx="0">
                  <c:v>241.26041630200001</c:v>
                </c:pt>
                <c:pt idx="1">
                  <c:v>246.15017427799995</c:v>
                </c:pt>
                <c:pt idx="2">
                  <c:v>247.58579560199996</c:v>
                </c:pt>
                <c:pt idx="3">
                  <c:v>248.36716480200005</c:v>
                </c:pt>
                <c:pt idx="4">
                  <c:v>248.80719137799997</c:v>
                </c:pt>
                <c:pt idx="5">
                  <c:v>249.14883740799996</c:v>
                </c:pt>
                <c:pt idx="6">
                  <c:v>249.38260727599999</c:v>
                </c:pt>
                <c:pt idx="7">
                  <c:v>249.55977983800005</c:v>
                </c:pt>
                <c:pt idx="8">
                  <c:v>249.68502077599999</c:v>
                </c:pt>
                <c:pt idx="9">
                  <c:v>249.79493874000002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CD8-4BD2-B709-57EBAF2B89A6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'Power Calculations'!$AA$66:$AA$75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'Power Calculations'!$AB$68:$AK$68</c:f>
              <c:numCache>
                <c:formatCode>0.0</c:formatCode>
                <c:ptCount val="10"/>
                <c:pt idx="0">
                  <c:v>260.71617586800005</c:v>
                </c:pt>
                <c:pt idx="1">
                  <c:v>270.43426133199995</c:v>
                </c:pt>
                <c:pt idx="2">
                  <c:v>273.49035124200003</c:v>
                </c:pt>
                <c:pt idx="3">
                  <c:v>275.09009657999997</c:v>
                </c:pt>
                <c:pt idx="4">
                  <c:v>276.02678694399992</c:v>
                </c:pt>
                <c:pt idx="5">
                  <c:v>276.58613700799998</c:v>
                </c:pt>
                <c:pt idx="6">
                  <c:v>277.01270530999994</c:v>
                </c:pt>
                <c:pt idx="7">
                  <c:v>277.26211817199999</c:v>
                </c:pt>
                <c:pt idx="8">
                  <c:v>277.46563509799995</c:v>
                </c:pt>
                <c:pt idx="9">
                  <c:v>277.63446354399997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CD8-4BD2-B709-57EBAF2B89A6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'Power Calculations'!$AA$66:$AA$75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'Power Calculations'!$AB$69:$AK$69</c:f>
              <c:numCache>
                <c:formatCode>0.0</c:formatCode>
                <c:ptCount val="10"/>
                <c:pt idx="0">
                  <c:v>268.72638513200002</c:v>
                </c:pt>
                <c:pt idx="1">
                  <c:v>285.543664122</c:v>
                </c:pt>
                <c:pt idx="2">
                  <c:v>290.85877077000004</c:v>
                </c:pt>
                <c:pt idx="3">
                  <c:v>293.75783717000002</c:v>
                </c:pt>
                <c:pt idx="4">
                  <c:v>295.43174328399999</c:v>
                </c:pt>
                <c:pt idx="5">
                  <c:v>296.45708330600007</c:v>
                </c:pt>
                <c:pt idx="6">
                  <c:v>297.16635008000003</c:v>
                </c:pt>
                <c:pt idx="7">
                  <c:v>297.63242424199996</c:v>
                </c:pt>
                <c:pt idx="8">
                  <c:v>297.98572911799994</c:v>
                </c:pt>
                <c:pt idx="9">
                  <c:v>298.32395008400005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CD8-4BD2-B709-57EBAF2B89A6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'Power Calculations'!$AA$66:$AA$75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'Power Calculations'!$AB$70:$AK$70</c:f>
              <c:numCache>
                <c:formatCode>0.0</c:formatCode>
                <c:ptCount val="10"/>
                <c:pt idx="0">
                  <c:v>269.53987657799996</c:v>
                </c:pt>
                <c:pt idx="1">
                  <c:v>296.19906521399997</c:v>
                </c:pt>
                <c:pt idx="2">
                  <c:v>304.87948244799998</c:v>
                </c:pt>
                <c:pt idx="3">
                  <c:v>309.79896394799994</c:v>
                </c:pt>
                <c:pt idx="4">
                  <c:v>312.65552788800005</c:v>
                </c:pt>
                <c:pt idx="5">
                  <c:v>314.402947982</c:v>
                </c:pt>
                <c:pt idx="6">
                  <c:v>315.63527115199997</c:v>
                </c:pt>
                <c:pt idx="7">
                  <c:v>316.447107614</c:v>
                </c:pt>
                <c:pt idx="8">
                  <c:v>317.00836947799996</c:v>
                </c:pt>
                <c:pt idx="9">
                  <c:v>317.60200588800001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CD8-4BD2-B709-57EBAF2B89A6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'Power Calculations'!$AA$66:$AA$75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'Power Calculations'!$AB$71:$AK$71</c:f>
              <c:numCache>
                <c:formatCode>0.0</c:formatCode>
                <c:ptCount val="10"/>
                <c:pt idx="0">
                  <c:v>269.53987657799996</c:v>
                </c:pt>
                <c:pt idx="1">
                  <c:v>302.08581039999996</c:v>
                </c:pt>
                <c:pt idx="2">
                  <c:v>316.07837429599999</c:v>
                </c:pt>
                <c:pt idx="3">
                  <c:v>323.93375097199998</c:v>
                </c:pt>
                <c:pt idx="4">
                  <c:v>328.65105566200003</c:v>
                </c:pt>
                <c:pt idx="5">
                  <c:v>331.53759571399996</c:v>
                </c:pt>
                <c:pt idx="6">
                  <c:v>333.60481435600002</c:v>
                </c:pt>
                <c:pt idx="7">
                  <c:v>334.90600111799995</c:v>
                </c:pt>
                <c:pt idx="8">
                  <c:v>335.81293593199996</c:v>
                </c:pt>
                <c:pt idx="9">
                  <c:v>336.799547824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CD8-4BD2-B709-57EBAF2B89A6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'Power Calculations'!$AA$66:$AA$75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'Power Calculations'!$AB$72:$AK$72</c:f>
              <c:numCache>
                <c:formatCode>0.0</c:formatCode>
                <c:ptCount val="10"/>
                <c:pt idx="0">
                  <c:v>269.53987657799996</c:v>
                </c:pt>
                <c:pt idx="1">
                  <c:v>302.73784292599998</c:v>
                </c:pt>
                <c:pt idx="2">
                  <c:v>323.34238529000004</c:v>
                </c:pt>
                <c:pt idx="3">
                  <c:v>335.46158699</c:v>
                </c:pt>
                <c:pt idx="4">
                  <c:v>342.823645468</c:v>
                </c:pt>
                <c:pt idx="5">
                  <c:v>347.41790959200006</c:v>
                </c:pt>
                <c:pt idx="6">
                  <c:v>350.69226462999995</c:v>
                </c:pt>
                <c:pt idx="7">
                  <c:v>352.76721269200004</c:v>
                </c:pt>
                <c:pt idx="8">
                  <c:v>354.23056045600003</c:v>
                </c:pt>
                <c:pt idx="9">
                  <c:v>355.76625082999999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CD8-4BD2-B709-57EBAF2B89A6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'Power Calculations'!$AA$66:$AA$75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'Power Calculations'!$AB$73:$AK$73</c:f>
              <c:numCache>
                <c:formatCode>0.0</c:formatCode>
                <c:ptCount val="10"/>
                <c:pt idx="0">
                  <c:v>269.53987657799996</c:v>
                </c:pt>
                <c:pt idx="1">
                  <c:v>302.73784292599998</c:v>
                </c:pt>
                <c:pt idx="2">
                  <c:v>325.31293120999999</c:v>
                </c:pt>
                <c:pt idx="3">
                  <c:v>343.21375260400004</c:v>
                </c:pt>
                <c:pt idx="4">
                  <c:v>354.20656390800002</c:v>
                </c:pt>
                <c:pt idx="5">
                  <c:v>361.10646299000001</c:v>
                </c:pt>
                <c:pt idx="6">
                  <c:v>366.10841342399999</c:v>
                </c:pt>
                <c:pt idx="7">
                  <c:v>369.26636782399999</c:v>
                </c:pt>
                <c:pt idx="8">
                  <c:v>371.48546957600001</c:v>
                </c:pt>
                <c:pt idx="9">
                  <c:v>373.84169739400005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CD8-4BD2-B709-57EBAF2B89A6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'Power Calculations'!$AA$66:$AA$75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'Power Calculations'!$AB$74:$AK$74</c:f>
              <c:numCache>
                <c:formatCode>0.0</c:formatCode>
                <c:ptCount val="10"/>
                <c:pt idx="0">
                  <c:v>269.53987657799996</c:v>
                </c:pt>
                <c:pt idx="1">
                  <c:v>302.73784292599998</c:v>
                </c:pt>
                <c:pt idx="2">
                  <c:v>325.31293120999999</c:v>
                </c:pt>
                <c:pt idx="3">
                  <c:v>345.97424819000003</c:v>
                </c:pt>
                <c:pt idx="4">
                  <c:v>361.75713499000005</c:v>
                </c:pt>
                <c:pt idx="5">
                  <c:v>371.66843810599994</c:v>
                </c:pt>
                <c:pt idx="6">
                  <c:v>378.88204201199994</c:v>
                </c:pt>
                <c:pt idx="7">
                  <c:v>383.51447763600004</c:v>
                </c:pt>
                <c:pt idx="8">
                  <c:v>386.78739337599995</c:v>
                </c:pt>
                <c:pt idx="9">
                  <c:v>390.23743567600002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CD8-4BD2-B709-57EBAF2B89A6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'Power Calculations'!$AA$66:$AA$75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'Power Calculations'!$AB$75:$AK$75</c:f>
              <c:numCache>
                <c:formatCode>0.0</c:formatCode>
                <c:ptCount val="10"/>
                <c:pt idx="0">
                  <c:v>269.53987657799996</c:v>
                </c:pt>
                <c:pt idx="1">
                  <c:v>302.73784292599998</c:v>
                </c:pt>
                <c:pt idx="2">
                  <c:v>325.31293120999999</c:v>
                </c:pt>
                <c:pt idx="3">
                  <c:v>345.97424819000003</c:v>
                </c:pt>
                <c:pt idx="4">
                  <c:v>364.44619176599997</c:v>
                </c:pt>
                <c:pt idx="5">
                  <c:v>378.22219139799995</c:v>
                </c:pt>
                <c:pt idx="6">
                  <c:v>388.24287473799995</c:v>
                </c:pt>
                <c:pt idx="7">
                  <c:v>394.66081370000006</c:v>
                </c:pt>
                <c:pt idx="8">
                  <c:v>399.26222835200008</c:v>
                </c:pt>
                <c:pt idx="9">
                  <c:v>404.15617317200002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CD8-4BD2-B709-57EBAF2B89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075151"/>
        <c:axId val="2130071791"/>
      </c:scatterChart>
      <c:valAx>
        <c:axId val="213007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071791"/>
        <c:crosses val="autoZero"/>
        <c:crossBetween val="midCat"/>
      </c:valAx>
      <c:valAx>
        <c:axId val="2130071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075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39188</xdr:colOff>
      <xdr:row>15</xdr:row>
      <xdr:rowOff>65314</xdr:rowOff>
    </xdr:from>
    <xdr:to>
      <xdr:col>10</xdr:col>
      <xdr:colOff>290648</xdr:colOff>
      <xdr:row>34</xdr:row>
      <xdr:rowOff>105590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546B9E-0681-913E-1619-3063621D38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457200</xdr:colOff>
      <xdr:row>10</xdr:row>
      <xdr:rowOff>27215</xdr:rowOff>
    </xdr:from>
    <xdr:to>
      <xdr:col>12</xdr:col>
      <xdr:colOff>315686</xdr:colOff>
      <xdr:row>24</xdr:row>
      <xdr:rowOff>179615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4D2350-0906-483D-79B2-17C639D14E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625815</xdr:colOff>
      <xdr:row>104</xdr:row>
      <xdr:rowOff>28782</xdr:rowOff>
    </xdr:from>
    <xdr:to>
      <xdr:col>40</xdr:col>
      <xdr:colOff>426895</xdr:colOff>
      <xdr:row>118</xdr:row>
      <xdr:rowOff>113582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27C4702-7A43-00EA-82FF-684FC8EC09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364701</xdr:colOff>
      <xdr:row>109</xdr:row>
      <xdr:rowOff>157595</xdr:rowOff>
    </xdr:from>
    <xdr:to>
      <xdr:col>33</xdr:col>
      <xdr:colOff>93859</xdr:colOff>
      <xdr:row>125</xdr:row>
      <xdr:rowOff>155803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FB33131-9ED8-45B8-AB43-0B1C434E9E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lli Thomys Guidera" refreshedDate="46086.721067592596" createdVersion="8" refreshedVersion="8" minRefreshableVersion="3" recordCount="101" xr:uid="{7D2AB03C-10D3-4D7A-A54C-4DD397A20C29}">
  <cacheSource type="worksheet">
    <worksheetSource ref="A1:H1048576" sheet="AllSpeedsAllAccelsRobot1(2)"/>
  </cacheSource>
  <cacheFields count="8">
    <cacheField name="Speed" numFmtId="0">
      <sharedItems containsString="0" containsBlank="1" containsNumber="1" containsInteger="1" minValue="10" maxValue="100" count="11">
        <n v="10"/>
        <n v="20"/>
        <n v="30"/>
        <n v="40"/>
        <n v="50"/>
        <n v="60"/>
        <n v="70"/>
        <n v="80"/>
        <n v="90"/>
        <n v="100"/>
        <m/>
      </sharedItems>
    </cacheField>
    <cacheField name="Accel" numFmtId="0">
      <sharedItems containsString="0" containsBlank="1" containsNumber="1" containsInteger="1" minValue="10" maxValue="100" count="11">
        <n v="10"/>
        <n v="20"/>
        <n v="30"/>
        <n v="40"/>
        <n v="50"/>
        <n v="60"/>
        <n v="70"/>
        <n v="80"/>
        <n v="90"/>
        <n v="100"/>
        <m/>
      </sharedItems>
    </cacheField>
    <cacheField name="Power Usage (J)" numFmtId="0">
      <sharedItems containsString="0" containsBlank="1" containsNumber="1" minValue="418.505" maxValue="1151.72"/>
    </cacheField>
    <cacheField name="Regen Saved (J)" numFmtId="0">
      <sharedItems containsString="0" containsBlank="1" containsNumber="1" minValue="4.0350000000000001" maxValue="79.48"/>
    </cacheField>
    <cacheField name="Move Duration (s)" numFmtId="0">
      <sharedItems containsString="0" containsBlank="1" containsNumber="1" minValue="1.2" maxValue="9.3000000000000007"/>
    </cacheField>
    <cacheField name="Move Start (s)" numFmtId="0">
      <sharedItems containsString="0" containsBlank="1" containsNumber="1" minValue="7.4" maxValue="428.3"/>
    </cacheField>
    <cacheField name="Move End (s)" numFmtId="0">
      <sharedItems containsString="0" containsBlank="1" containsNumber="1" minValue="16.7" maxValue="429.5"/>
    </cacheField>
    <cacheField name="Time" numFmtId="0">
      <sharedItems containsString="0" containsBlank="1" containsNumber="1" minValue="1.2869999999999999" maxValue="9.6370000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lli Thomys Guidera" refreshedDate="46086.721637152776" createdVersion="8" refreshedVersion="8" minRefreshableVersion="3" recordCount="101" xr:uid="{ECBCDC55-E700-41E6-8648-160172F6EE74}">
  <cacheSource type="worksheet">
    <worksheetSource ref="A1:H1048576" sheet="AllSpeedsAllAccelsRobot1(3)"/>
  </cacheSource>
  <cacheFields count="8">
    <cacheField name="Speed" numFmtId="0">
      <sharedItems containsString="0" containsBlank="1" containsNumber="1" containsInteger="1" minValue="10" maxValue="100" count="11">
        <n v="10"/>
        <n v="20"/>
        <n v="30"/>
        <n v="40"/>
        <n v="50"/>
        <n v="60"/>
        <n v="70"/>
        <n v="80"/>
        <n v="90"/>
        <n v="100"/>
        <m/>
      </sharedItems>
    </cacheField>
    <cacheField name="Accel" numFmtId="0">
      <sharedItems containsString="0" containsBlank="1" containsNumber="1" containsInteger="1" minValue="10" maxValue="100" count="11">
        <n v="10"/>
        <n v="20"/>
        <n v="30"/>
        <n v="40"/>
        <n v="50"/>
        <n v="60"/>
        <n v="70"/>
        <n v="80"/>
        <n v="90"/>
        <n v="100"/>
        <m/>
      </sharedItems>
    </cacheField>
    <cacheField name="Power Usage (J)" numFmtId="0">
      <sharedItems containsString="0" containsBlank="1" containsNumber="1" minValue="401.63" maxValue="1118.21"/>
    </cacheField>
    <cacheField name="Regen Saved (J)" numFmtId="0">
      <sharedItems containsString="0" containsBlank="1" containsNumber="1" minValue="3.875" maxValue="52.59"/>
    </cacheField>
    <cacheField name="Move Duration (s)" numFmtId="0">
      <sharedItems containsString="0" containsBlank="1" containsNumber="1" minValue="1.1000000000000001" maxValue="9.3000000000000007"/>
    </cacheField>
    <cacheField name="Move Start (s)" numFmtId="0">
      <sharedItems containsString="0" containsBlank="1" containsNumber="1" minValue="5.7" maxValue="426.6"/>
    </cacheField>
    <cacheField name="Move End (s)" numFmtId="0">
      <sharedItems containsString="0" containsBlank="1" containsNumber="1" minValue="15" maxValue="427.8"/>
    </cacheField>
    <cacheField name="Time" numFmtId="0">
      <sharedItems containsString="0" containsBlank="1" containsNumber="1" minValue="1.288" maxValue="9.634000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lli Thomys Guidera" refreshedDate="46086.722580439811" createdVersion="8" refreshedVersion="8" minRefreshableVersion="3" recordCount="101" xr:uid="{912E72BA-EDB0-4EF1-8799-99953E77742C}">
  <cacheSource type="worksheet">
    <worksheetSource ref="A1:H1048576" sheet="AllSpeedsAllAccelsRobot1(4)"/>
  </cacheSource>
  <cacheFields count="8">
    <cacheField name="Speed" numFmtId="0">
      <sharedItems containsString="0" containsBlank="1" containsNumber="1" containsInteger="1" minValue="10" maxValue="100" count="11">
        <n v="10"/>
        <n v="20"/>
        <n v="30"/>
        <n v="40"/>
        <n v="50"/>
        <n v="60"/>
        <n v="70"/>
        <n v="80"/>
        <n v="90"/>
        <n v="100"/>
        <m/>
      </sharedItems>
    </cacheField>
    <cacheField name="Accel" numFmtId="0">
      <sharedItems containsString="0" containsBlank="1" containsNumber="1" containsInteger="1" minValue="10" maxValue="100" count="11">
        <n v="10"/>
        <n v="20"/>
        <n v="30"/>
        <n v="40"/>
        <n v="50"/>
        <n v="60"/>
        <n v="70"/>
        <n v="80"/>
        <n v="90"/>
        <n v="100"/>
        <m/>
      </sharedItems>
    </cacheField>
    <cacheField name="Power Usage (J)" numFmtId="0">
      <sharedItems containsString="0" containsBlank="1" containsNumber="1" minValue="399.125" maxValue="1094.71"/>
    </cacheField>
    <cacheField name="Regen Saved (J)" numFmtId="0">
      <sharedItems containsString="0" containsBlank="1" containsNumber="1" minValue="3.625" maxValue="191.035"/>
    </cacheField>
    <cacheField name="Move Duration (s)" numFmtId="0">
      <sharedItems containsString="0" containsBlank="1" containsNumber="1" minValue="1.2" maxValue="9.1999999999999993"/>
    </cacheField>
    <cacheField name="Move Start (s)" numFmtId="0">
      <sharedItems containsString="0" containsBlank="1" containsNumber="1" minValue="4.7" maxValue="425.6"/>
    </cacheField>
    <cacheField name="Move End (s)" numFmtId="0">
      <sharedItems containsString="0" containsBlank="1" containsNumber="1" minValue="13.9" maxValue="426.8"/>
    </cacheField>
    <cacheField name="Time" numFmtId="0">
      <sharedItems containsString="0" containsBlank="1" containsNumber="1" minValue="1.288" maxValue="9.63599999999999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lli Thomys Guidera" refreshedDate="46086.724339236112" createdVersion="8" refreshedVersion="8" minRefreshableVersion="3" recordCount="101" xr:uid="{C7EA0C15-8051-4F02-B0B1-A80215F4907B}">
  <cacheSource type="worksheet">
    <worksheetSource ref="A1:H1048576" sheet="AllSpeedsAllAccelsRobot1(5)"/>
  </cacheSource>
  <cacheFields count="8">
    <cacheField name="Speed" numFmtId="0">
      <sharedItems containsString="0" containsBlank="1" containsNumber="1" containsInteger="1" minValue="10" maxValue="100" count="11">
        <n v="10"/>
        <n v="20"/>
        <n v="30"/>
        <n v="40"/>
        <n v="50"/>
        <n v="60"/>
        <n v="70"/>
        <n v="80"/>
        <n v="90"/>
        <n v="100"/>
        <m/>
      </sharedItems>
    </cacheField>
    <cacheField name="Accel" numFmtId="0">
      <sharedItems containsString="0" containsBlank="1" containsNumber="1" containsInteger="1" minValue="10" maxValue="100" count="11">
        <n v="10"/>
        <n v="20"/>
        <n v="30"/>
        <n v="40"/>
        <n v="50"/>
        <n v="60"/>
        <n v="70"/>
        <n v="80"/>
        <n v="90"/>
        <n v="100"/>
        <m/>
      </sharedItems>
    </cacheField>
    <cacheField name="Power Usage (J)" numFmtId="0">
      <sharedItems containsString="0" containsBlank="1" containsNumber="1" minValue="396.32" maxValue="1084.74"/>
    </cacheField>
    <cacheField name="Regen Saved (J)" numFmtId="0">
      <sharedItems containsString="0" containsBlank="1" containsNumber="1" minValue="3.0049999999999999" maxValue="43.625"/>
    </cacheField>
    <cacheField name="Move Duration (s)" numFmtId="0">
      <sharedItems containsString="0" containsBlank="1" containsNumber="1" minValue="1.2" maxValue="9.3000000000000007"/>
    </cacheField>
    <cacheField name="Move Start (s)" numFmtId="0">
      <sharedItems containsString="0" containsBlank="1" containsNumber="1" minValue="4.9000000000000004" maxValue="425.9"/>
    </cacheField>
    <cacheField name="Move End (s)" numFmtId="0">
      <sharedItems containsString="0" containsBlank="1" containsNumber="1" minValue="14.2" maxValue="427.1"/>
    </cacheField>
    <cacheField name="Time" numFmtId="0">
      <sharedItems containsString="0" containsBlank="1" containsNumber="1" minValue="1.2849999999999999" maxValue="9.634000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lli Thomys Guidera" refreshedDate="46088.588756134261" createdVersion="8" refreshedVersion="8" minRefreshableVersion="3" recordCount="101" xr:uid="{3AD8158D-ACEF-4926-826C-0EAA46717357}">
  <cacheSource type="worksheet">
    <worksheetSource ref="A1:H1048576" sheet="AllSpeedsAllAccelsRobot1(6)"/>
  </cacheSource>
  <cacheFields count="8">
    <cacheField name="Speed" numFmtId="0">
      <sharedItems containsString="0" containsBlank="1" containsNumber="1" containsInteger="1" minValue="10" maxValue="100" count="11">
        <n v="10"/>
        <n v="20"/>
        <n v="30"/>
        <n v="40"/>
        <n v="50"/>
        <n v="60"/>
        <n v="70"/>
        <n v="80"/>
        <n v="90"/>
        <n v="100"/>
        <m/>
      </sharedItems>
    </cacheField>
    <cacheField name="Accel" numFmtId="0">
      <sharedItems containsString="0" containsBlank="1" containsNumber="1" containsInteger="1" minValue="10" maxValue="100" count="11">
        <n v="10"/>
        <n v="20"/>
        <n v="30"/>
        <n v="40"/>
        <n v="50"/>
        <n v="60"/>
        <n v="70"/>
        <n v="80"/>
        <n v="90"/>
        <n v="100"/>
        <m/>
      </sharedItems>
    </cacheField>
    <cacheField name="Power Usage (J)" numFmtId="0">
      <sharedItems containsString="0" containsBlank="1" containsNumber="1" minValue="421.36" maxValue="1161.2"/>
    </cacheField>
    <cacheField name="Regen Saved (J)" numFmtId="0">
      <sharedItems containsString="0" containsBlank="1" containsNumber="1" minValue="3.44" maxValue="162.67500000000001"/>
    </cacheField>
    <cacheField name="Move Duration (s)" numFmtId="0">
      <sharedItems containsString="0" containsBlank="1" containsNumber="1" minValue="1.2" maxValue="9.3000000000000007"/>
    </cacheField>
    <cacheField name="Move Start (s)" numFmtId="0">
      <sharedItems containsString="0" containsBlank="1" containsNumber="1" minValue="4.9000000000000004" maxValue="425.8"/>
    </cacheField>
    <cacheField name="Move End (s)" numFmtId="0">
      <sharedItems containsString="0" containsBlank="1" containsNumber="1" minValue="14.2" maxValue="427"/>
    </cacheField>
    <cacheField name="Time" numFmtId="0">
      <sharedItems containsString="0" containsBlank="1" containsNumber="1" minValue="1.2849999999999999" maxValue="9.63599999999999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lli Thomys Guidera" refreshedDate="46088.589974768518" createdVersion="8" refreshedVersion="8" minRefreshableVersion="3" recordCount="101" xr:uid="{D289275C-F66B-4575-A17A-F4CB57F62349}">
  <cacheSource type="worksheet">
    <worksheetSource ref="A1:H1048576" sheet="AllSpeedsAllAccelsRobot1(7)"/>
  </cacheSource>
  <cacheFields count="8">
    <cacheField name="Speed" numFmtId="0">
      <sharedItems containsString="0" containsBlank="1" containsNumber="1" containsInteger="1" minValue="10" maxValue="100" count="11">
        <n v="10"/>
        <n v="20"/>
        <n v="30"/>
        <n v="40"/>
        <n v="50"/>
        <n v="60"/>
        <n v="70"/>
        <n v="80"/>
        <n v="90"/>
        <n v="100"/>
        <m/>
      </sharedItems>
    </cacheField>
    <cacheField name="Accel" numFmtId="0">
      <sharedItems containsString="0" containsBlank="1" containsNumber="1" containsInteger="1" minValue="10" maxValue="100" count="11">
        <n v="10"/>
        <n v="20"/>
        <n v="30"/>
        <n v="40"/>
        <n v="50"/>
        <n v="60"/>
        <n v="70"/>
        <n v="80"/>
        <n v="90"/>
        <n v="100"/>
        <m/>
      </sharedItems>
    </cacheField>
    <cacheField name="Power Usage (J)" numFmtId="0">
      <sharedItems containsString="0" containsBlank="1" containsNumber="1" minValue="409.34" maxValue="1131.8800000000001"/>
    </cacheField>
    <cacheField name="Regen Saved (J)" numFmtId="0">
      <sharedItems containsString="0" containsBlank="1" containsNumber="1" minValue="3.625" maxValue="33.185000000000002"/>
    </cacheField>
    <cacheField name="Move Duration (s)" numFmtId="0">
      <sharedItems containsString="0" containsBlank="1" containsNumber="1" minValue="1.2" maxValue="9.5"/>
    </cacheField>
    <cacheField name="Move Start (s)" numFmtId="0">
      <sharedItems containsString="0" containsBlank="1" containsNumber="1" minValue="4.2" maxValue="425.2"/>
    </cacheField>
    <cacheField name="Move End (s)" numFmtId="0">
      <sharedItems containsString="0" containsBlank="1" containsNumber="1" minValue="13.7" maxValue="426.4"/>
    </cacheField>
    <cacheField name="Tim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lli Thomys Guidera" refreshedDate="46088.590753240744" createdVersion="8" refreshedVersion="8" minRefreshableVersion="3" recordCount="101" xr:uid="{5442B7D1-0492-42CF-8686-996D4D8BC9CD}">
  <cacheSource type="worksheet">
    <worksheetSource ref="A1:H1048576" sheet="AllSpeedsAllAccelsRobot1(8)"/>
  </cacheSource>
  <cacheFields count="8">
    <cacheField name="Speed" numFmtId="0">
      <sharedItems containsString="0" containsBlank="1" containsNumber="1" containsInteger="1" minValue="10" maxValue="100" count="11">
        <n v="10"/>
        <n v="20"/>
        <n v="30"/>
        <n v="40"/>
        <n v="50"/>
        <n v="60"/>
        <n v="70"/>
        <n v="80"/>
        <n v="90"/>
        <n v="100"/>
        <m/>
      </sharedItems>
    </cacheField>
    <cacheField name="Accel" numFmtId="0">
      <sharedItems containsString="0" containsBlank="1" containsNumber="1" containsInteger="1" minValue="10" maxValue="100" count="11">
        <n v="10"/>
        <n v="20"/>
        <n v="30"/>
        <n v="40"/>
        <n v="50"/>
        <n v="60"/>
        <n v="70"/>
        <n v="80"/>
        <n v="90"/>
        <n v="100"/>
        <m/>
      </sharedItems>
    </cacheField>
    <cacheField name="Power Usage (J)" numFmtId="0">
      <sharedItems containsString="0" containsBlank="1" containsNumber="1" minValue="398.17500000000001" maxValue="1080.5999999999999"/>
    </cacheField>
    <cacheField name="Regen Saved (J)" numFmtId="0">
      <sharedItems containsString="0" containsBlank="1" containsNumber="1" minValue="3.9750000000000001" maxValue="48.37"/>
    </cacheField>
    <cacheField name="Move Duration (s)" numFmtId="0">
      <sharedItems containsString="0" containsBlank="1" containsNumber="1" minValue="1.2" maxValue="9.1999999999999993"/>
    </cacheField>
    <cacheField name="Move Start (s)" numFmtId="0">
      <sharedItems containsString="0" containsBlank="1" containsNumber="1" minValue="6.4" maxValue="427.3"/>
    </cacheField>
    <cacheField name="Move End (s)" numFmtId="0">
      <sharedItems containsString="0" containsBlank="1" containsNumber="1" minValue="15.6" maxValue="428.5"/>
    </cacheField>
    <cacheField name="Time" numFmtId="0">
      <sharedItems containsString="0" containsBlank="1" containsNumber="1" minValue="1.2869999999999999" maxValue="9.63899999999999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lli Thomys Guidera" refreshedDate="46088.591262037036" createdVersion="8" refreshedVersion="8" minRefreshableVersion="3" recordCount="101" xr:uid="{88094CD8-250E-4117-B6BB-98E0FB1FB10B}">
  <cacheSource type="worksheet">
    <worksheetSource ref="A1:H1048576" sheet="AllSpeedsAllAccelsRobot1(9)"/>
  </cacheSource>
  <cacheFields count="8">
    <cacheField name="Speed" numFmtId="0">
      <sharedItems containsString="0" containsBlank="1" containsNumber="1" containsInteger="1" minValue="10" maxValue="100" count="11">
        <n v="10"/>
        <n v="20"/>
        <n v="30"/>
        <n v="40"/>
        <n v="50"/>
        <n v="60"/>
        <n v="70"/>
        <n v="80"/>
        <n v="90"/>
        <n v="100"/>
        <m/>
      </sharedItems>
    </cacheField>
    <cacheField name="Accel" numFmtId="0">
      <sharedItems containsString="0" containsBlank="1" containsNumber="1" containsInteger="1" minValue="10" maxValue="100" count="11">
        <n v="10"/>
        <n v="20"/>
        <n v="30"/>
        <n v="40"/>
        <n v="50"/>
        <n v="60"/>
        <n v="70"/>
        <n v="80"/>
        <n v="90"/>
        <n v="100"/>
        <m/>
      </sharedItems>
    </cacheField>
    <cacheField name="Power Usage (J)" numFmtId="0">
      <sharedItems containsString="0" containsBlank="1" containsNumber="1" minValue="396.315" maxValue="1082.1949999999999"/>
    </cacheField>
    <cacheField name="Regen Saved (J)" numFmtId="0">
      <sharedItems containsString="0" containsBlank="1" containsNumber="1" minValue="4.0049999999999999" maxValue="52.45"/>
    </cacheField>
    <cacheField name="Move Duration (s)" numFmtId="0">
      <sharedItems containsString="0" containsBlank="1" containsNumber="1" minValue="1.2" maxValue="9.1999999999999993"/>
    </cacheField>
    <cacheField name="Move Start (s)" numFmtId="0">
      <sharedItems containsString="0" containsBlank="1" containsNumber="1" minValue="8" maxValue="428.9"/>
    </cacheField>
    <cacheField name="Move End (s)" numFmtId="0">
      <sharedItems containsString="0" containsBlank="1" containsNumber="1" minValue="17.2" maxValue="430.1"/>
    </cacheField>
    <cacheField name="Time" numFmtId="0">
      <sharedItems containsString="0" containsBlank="1" containsNumber="1" minValue="1.2869999999999999" maxValue="9.63299999999999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lli Thomys Guidera" refreshedDate="46088.592646874997" createdVersion="8" refreshedVersion="8" minRefreshableVersion="3" recordCount="101" xr:uid="{D320DF0F-A714-445D-BFD2-1E4550C34C0B}">
  <cacheSource type="worksheet">
    <worksheetSource ref="A1:H1048576" sheet="AllSpeedsAllAccelsRobot1(10)"/>
  </cacheSource>
  <cacheFields count="8">
    <cacheField name="Speed" numFmtId="0">
      <sharedItems containsString="0" containsBlank="1" containsNumber="1" containsInteger="1" minValue="10" maxValue="100" count="11">
        <n v="10"/>
        <n v="20"/>
        <n v="30"/>
        <n v="40"/>
        <n v="50"/>
        <n v="60"/>
        <n v="70"/>
        <n v="80"/>
        <n v="90"/>
        <n v="100"/>
        <m/>
      </sharedItems>
    </cacheField>
    <cacheField name="Accel" numFmtId="0">
      <sharedItems containsString="0" containsBlank="1" containsNumber="1" containsInteger="1" minValue="10" maxValue="100" count="11">
        <n v="10"/>
        <n v="20"/>
        <n v="30"/>
        <n v="40"/>
        <n v="50"/>
        <n v="60"/>
        <n v="70"/>
        <n v="80"/>
        <n v="90"/>
        <n v="100"/>
        <m/>
      </sharedItems>
    </cacheField>
    <cacheField name="Power Usage (J)" numFmtId="0">
      <sharedItems containsString="0" containsBlank="1" containsNumber="1" minValue="386.79" maxValue="1076.135"/>
    </cacheField>
    <cacheField name="Regen Saved (J)" numFmtId="0">
      <sharedItems containsString="0" containsBlank="1" containsNumber="1" minValue="4.2549999999999999" maxValue="123.76"/>
    </cacheField>
    <cacheField name="Move Duration (s)" numFmtId="0">
      <sharedItems containsString="0" containsBlank="1" containsNumber="1" minValue="1.2" maxValue="9.1999999999999993"/>
    </cacheField>
    <cacheField name="Move Start (s)" numFmtId="0">
      <sharedItems containsString="0" containsBlank="1" containsNumber="1" minValue="4.8" maxValue="425.7"/>
    </cacheField>
    <cacheField name="Move End (s)" numFmtId="0">
      <sharedItems containsString="0" containsBlank="1" containsNumber="1" minValue="14" maxValue="426.9"/>
    </cacheField>
    <cacheField name="Time" numFmtId="0">
      <sharedItems containsString="0" containsBlank="1" containsNumber="1" minValue="1.288" maxValue="9.634000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lli Thomys Guidera" refreshedDate="46088.593616782404" createdVersion="8" refreshedVersion="8" minRefreshableVersion="3" recordCount="101" xr:uid="{283F547C-8092-4021-A1EF-41BBCD2E072D}">
  <cacheSource type="worksheet">
    <worksheetSource ref="A1:H1048576" sheet="AllSpeedsAllAccelsRobot1(11)"/>
  </cacheSource>
  <cacheFields count="8">
    <cacheField name="Speed" numFmtId="0">
      <sharedItems containsString="0" containsBlank="1" containsNumber="1" containsInteger="1" minValue="10" maxValue="100" count="11">
        <n v="10"/>
        <n v="20"/>
        <n v="30"/>
        <n v="40"/>
        <n v="50"/>
        <n v="60"/>
        <n v="70"/>
        <n v="80"/>
        <n v="90"/>
        <n v="100"/>
        <m/>
      </sharedItems>
    </cacheField>
    <cacheField name="Accel" numFmtId="0">
      <sharedItems containsString="0" containsBlank="1" containsNumber="1" containsInteger="1" minValue="10" maxValue="100" count="11">
        <n v="10"/>
        <n v="20"/>
        <n v="30"/>
        <n v="40"/>
        <n v="50"/>
        <n v="60"/>
        <n v="70"/>
        <n v="80"/>
        <n v="90"/>
        <n v="100"/>
        <m/>
      </sharedItems>
    </cacheField>
    <cacheField name="Power Usage (J)" numFmtId="0">
      <sharedItems containsString="0" containsBlank="1" containsNumber="1" minValue="393.02" maxValue="1083.615"/>
    </cacheField>
    <cacheField name="Regen Saved (J)" numFmtId="0">
      <sharedItems containsString="0" containsBlank="1" containsNumber="1" minValue="3.3450000000000002" maxValue="51.435000000000002"/>
    </cacheField>
    <cacheField name="Move Duration (s)" numFmtId="0">
      <sharedItems containsString="0" containsBlank="1" containsNumber="1" minValue="1.2" maxValue="9.3000000000000007"/>
    </cacheField>
    <cacheField name="Move Start (s)" numFmtId="0">
      <sharedItems containsString="0" containsBlank="1" containsNumber="1" minValue="4.4000000000000004" maxValue="425.3"/>
    </cacheField>
    <cacheField name="Move End (s)" numFmtId="0">
      <sharedItems containsString="0" containsBlank="1" containsNumber="1" minValue="13.7" maxValue="426.6"/>
    </cacheField>
    <cacheField name="Time" numFmtId="0">
      <sharedItems containsString="0" containsBlank="1" containsNumber="1" minValue="1.2889999999999999" maxValue="9.634000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x v="0"/>
    <x v="0"/>
    <n v="1151.72"/>
    <n v="4.5"/>
    <n v="9.3000000000000007"/>
    <n v="7.4"/>
    <n v="16.7"/>
    <n v="9.6370000000000005"/>
  </r>
  <r>
    <x v="0"/>
    <x v="1"/>
    <n v="1118.04"/>
    <n v="5.26"/>
    <n v="9"/>
    <n v="17.899999999999999"/>
    <n v="26.9"/>
    <n v="9.1419999999999995"/>
  </r>
  <r>
    <x v="0"/>
    <x v="2"/>
    <n v="1105.4549999999999"/>
    <n v="4.18"/>
    <n v="8.9"/>
    <n v="28.1"/>
    <n v="37"/>
    <n v="8.9719999999999995"/>
  </r>
  <r>
    <x v="0"/>
    <x v="3"/>
    <n v="1105.45"/>
    <n v="4.8"/>
    <n v="8.9"/>
    <n v="38"/>
    <n v="46.9"/>
    <n v="8.8859999999999992"/>
  </r>
  <r>
    <x v="0"/>
    <x v="4"/>
    <n v="1087.94"/>
    <n v="5.33"/>
    <n v="8.8000000000000007"/>
    <n v="47.9"/>
    <n v="56.7"/>
    <n v="8.8379999999999992"/>
  </r>
  <r>
    <x v="0"/>
    <x v="5"/>
    <n v="1080.6500000000001"/>
    <n v="5.0199999999999996"/>
    <n v="8.6999999999999993"/>
    <n v="57.8"/>
    <n v="66.5"/>
    <n v="8.8059999999999992"/>
  </r>
  <r>
    <x v="0"/>
    <x v="6"/>
    <n v="1092.125"/>
    <n v="4.0350000000000001"/>
    <n v="8.8000000000000007"/>
    <n v="67.599999999999994"/>
    <n v="76.400000000000006"/>
    <n v="8.7810000000000006"/>
  </r>
  <r>
    <x v="0"/>
    <x v="7"/>
    <n v="1105.8599999999999"/>
    <n v="4.2450000000000001"/>
    <n v="8.9"/>
    <n v="77.3"/>
    <n v="86.2"/>
    <n v="8.7669999999999995"/>
  </r>
  <r>
    <x v="0"/>
    <x v="8"/>
    <n v="1091.0650000000001"/>
    <n v="4.6399999999999997"/>
    <n v="8.8000000000000007"/>
    <n v="87.1"/>
    <n v="95.9"/>
    <n v="8.7550000000000008"/>
  </r>
  <r>
    <x v="0"/>
    <x v="9"/>
    <n v="1090.7149999999999"/>
    <n v="5.4749999999999996"/>
    <n v="8.8000000000000007"/>
    <n v="96.9"/>
    <n v="105.7"/>
    <n v="8.7460000000000004"/>
  </r>
  <r>
    <x v="1"/>
    <x v="0"/>
    <n v="798.73"/>
    <n v="5.23"/>
    <n v="5.5"/>
    <n v="106.8"/>
    <n v="112.3"/>
    <n v="5.7610000000000001"/>
  </r>
  <r>
    <x v="1"/>
    <x v="1"/>
    <n v="737.39"/>
    <n v="4.6550000000000002"/>
    <n v="4.9000000000000004"/>
    <n v="113.5"/>
    <n v="118.4"/>
    <n v="5.0579999999999998"/>
  </r>
  <r>
    <x v="1"/>
    <x v="2"/>
    <n v="728.505"/>
    <n v="5.38"/>
    <n v="4.8"/>
    <n v="119.5"/>
    <n v="124.3"/>
    <n v="4.8220000000000001"/>
  </r>
  <r>
    <x v="1"/>
    <x v="3"/>
    <n v="706.245"/>
    <n v="4.8849999999999998"/>
    <n v="4.5999999999999996"/>
    <n v="125.4"/>
    <n v="130"/>
    <n v="4.7060000000000004"/>
  </r>
  <r>
    <x v="1"/>
    <x v="4"/>
    <n v="718.61"/>
    <n v="4.78"/>
    <n v="4.7"/>
    <n v="131"/>
    <n v="135.69999999999999"/>
    <n v="4.6360000000000001"/>
  </r>
  <r>
    <x v="1"/>
    <x v="5"/>
    <n v="700.03"/>
    <n v="4.3449999999999998"/>
    <n v="4.5999999999999996"/>
    <n v="136.69999999999999"/>
    <n v="141.30000000000001"/>
    <n v="4.5919999999999996"/>
  </r>
  <r>
    <x v="1"/>
    <x v="6"/>
    <n v="690.91"/>
    <n v="4.7450000000000001"/>
    <n v="4.5"/>
    <n v="142.30000000000001"/>
    <n v="146.80000000000001"/>
    <n v="4.5620000000000003"/>
  </r>
  <r>
    <x v="1"/>
    <x v="7"/>
    <n v="703.26"/>
    <n v="4.2750000000000004"/>
    <n v="4.5999999999999996"/>
    <n v="147.9"/>
    <n v="152.5"/>
    <n v="4.5439999999999996"/>
  </r>
  <r>
    <x v="1"/>
    <x v="8"/>
    <n v="700.35500000000002"/>
    <n v="4.8250000000000002"/>
    <n v="4.5999999999999996"/>
    <n v="153.4"/>
    <n v="158"/>
    <n v="4.5309999999999997"/>
  </r>
  <r>
    <x v="1"/>
    <x v="9"/>
    <n v="690.22"/>
    <n v="5.8650000000000002"/>
    <n v="4.5"/>
    <n v="159"/>
    <n v="163.5"/>
    <n v="4.5190000000000001"/>
  </r>
  <r>
    <x v="2"/>
    <x v="0"/>
    <n v="684.95"/>
    <n v="4.55"/>
    <n v="4.3"/>
    <n v="164.7"/>
    <n v="169"/>
    <n v="4.6479999999999997"/>
  </r>
  <r>
    <x v="2"/>
    <x v="1"/>
    <n v="641.57000000000005"/>
    <n v="4.41"/>
    <n v="3.7"/>
    <n v="170.2"/>
    <n v="173.9"/>
    <n v="3.7850000000000001"/>
  </r>
  <r>
    <x v="2"/>
    <x v="2"/>
    <n v="619.38499999999999"/>
    <n v="4.7549999999999999"/>
    <n v="3.5"/>
    <n v="175"/>
    <n v="178.5"/>
    <n v="3.4990000000000001"/>
  </r>
  <r>
    <x v="2"/>
    <x v="3"/>
    <n v="598.03"/>
    <n v="4.6950000000000003"/>
    <n v="3.3"/>
    <n v="179.5"/>
    <n v="182.8"/>
    <n v="3.3540000000000001"/>
  </r>
  <r>
    <x v="2"/>
    <x v="4"/>
    <n v="608.32500000000005"/>
    <n v="4.585"/>
    <n v="3.3"/>
    <n v="183.8"/>
    <n v="187.1"/>
    <n v="3.2719999999999998"/>
  </r>
  <r>
    <x v="2"/>
    <x v="5"/>
    <n v="618.33500000000004"/>
    <n v="4.3099999999999996"/>
    <n v="3.3"/>
    <n v="188.1"/>
    <n v="191.4"/>
    <n v="3.2240000000000002"/>
  </r>
  <r>
    <x v="2"/>
    <x v="6"/>
    <n v="587.26499999999999"/>
    <n v="4.335"/>
    <n v="3.2"/>
    <n v="192.3"/>
    <n v="195.5"/>
    <n v="3.1819999999999999"/>
  </r>
  <r>
    <x v="2"/>
    <x v="7"/>
    <n v="606.1"/>
    <n v="4.7149999999999999"/>
    <n v="3.2"/>
    <n v="196.5"/>
    <n v="199.7"/>
    <n v="3.16"/>
  </r>
  <r>
    <x v="2"/>
    <x v="8"/>
    <n v="597.76499999999999"/>
    <n v="4.915"/>
    <n v="3.2"/>
    <n v="200.7"/>
    <n v="203.9"/>
    <n v="3.1429999999999998"/>
  </r>
  <r>
    <x v="2"/>
    <x v="9"/>
    <n v="577.22"/>
    <n v="5.3"/>
    <n v="3.1"/>
    <n v="204.9"/>
    <n v="208"/>
    <n v="3.1280000000000001"/>
  </r>
  <r>
    <x v="3"/>
    <x v="0"/>
    <n v="671.91499999999996"/>
    <n v="5.1050000000000004"/>
    <n v="4"/>
    <n v="209.1"/>
    <n v="213.1"/>
    <n v="4.2050000000000001"/>
  </r>
  <r>
    <x v="3"/>
    <x v="1"/>
    <n v="594.54999999999995"/>
    <n v="5.0549999999999997"/>
    <n v="3.1"/>
    <n v="214.3"/>
    <n v="217.4"/>
    <n v="3.2050000000000001"/>
  </r>
  <r>
    <x v="3"/>
    <x v="2"/>
    <n v="573.55499999999995"/>
    <n v="4.6449999999999996"/>
    <n v="2.8"/>
    <n v="218.5"/>
    <n v="221.3"/>
    <n v="2.879"/>
  </r>
  <r>
    <x v="3"/>
    <x v="3"/>
    <n v="546.49"/>
    <n v="5.22"/>
    <n v="2.7"/>
    <n v="222.3"/>
    <n v="225"/>
    <n v="2.7050000000000001"/>
  </r>
  <r>
    <x v="3"/>
    <x v="4"/>
    <n v="546.255"/>
    <n v="4.7149999999999999"/>
    <n v="2.6"/>
    <n v="226.1"/>
    <n v="228.7"/>
    <n v="2.613"/>
  </r>
  <r>
    <x v="3"/>
    <x v="5"/>
    <n v="531.19000000000005"/>
    <n v="4.8049999999999997"/>
    <n v="2.5"/>
    <n v="229.7"/>
    <n v="232.2"/>
    <n v="2.5499999999999998"/>
  </r>
  <r>
    <x v="3"/>
    <x v="6"/>
    <n v="520.36500000000001"/>
    <n v="4.79"/>
    <n v="2.5"/>
    <n v="233.2"/>
    <n v="235.7"/>
    <n v="2.5089999999999999"/>
  </r>
  <r>
    <x v="3"/>
    <x v="7"/>
    <n v="552.99"/>
    <n v="5.0949999999999998"/>
    <n v="2.5"/>
    <n v="236.7"/>
    <n v="239.2"/>
    <n v="2.4849999999999999"/>
  </r>
  <r>
    <x v="3"/>
    <x v="8"/>
    <n v="521.91999999999996"/>
    <n v="4.79"/>
    <n v="2.4"/>
    <n v="240.3"/>
    <n v="242.7"/>
    <n v="2.464"/>
  </r>
  <r>
    <x v="3"/>
    <x v="9"/>
    <n v="512.39"/>
    <n v="5.8949999999999996"/>
    <n v="2.4"/>
    <n v="243.7"/>
    <n v="246.1"/>
    <n v="2.4460000000000002"/>
  </r>
  <r>
    <x v="4"/>
    <x v="0"/>
    <n v="630.56500000000005"/>
    <n v="4.8099999999999996"/>
    <n v="3.7"/>
    <n v="247.3"/>
    <n v="251"/>
    <n v="3.9769999999999999"/>
  </r>
  <r>
    <x v="4"/>
    <x v="1"/>
    <n v="559.21500000000003"/>
    <n v="4.9649999999999999"/>
    <n v="2.8"/>
    <n v="252.2"/>
    <n v="255"/>
    <n v="2.8940000000000001"/>
  </r>
  <r>
    <x v="4"/>
    <x v="2"/>
    <n v="532.11500000000001"/>
    <n v="4.875"/>
    <n v="2.4"/>
    <n v="256.10000000000002"/>
    <n v="258.5"/>
    <n v="2.5219999999999998"/>
  </r>
  <r>
    <x v="4"/>
    <x v="3"/>
    <n v="533.46500000000003"/>
    <n v="4.5049999999999999"/>
    <n v="2.2999999999999998"/>
    <n v="259.60000000000002"/>
    <n v="261.89999999999998"/>
    <n v="2.339"/>
  </r>
  <r>
    <x v="4"/>
    <x v="4"/>
    <n v="530.81500000000005"/>
    <n v="4.87"/>
    <n v="2.2999999999999998"/>
    <n v="262.89999999999998"/>
    <n v="265.2"/>
    <n v="2.23"/>
  </r>
  <r>
    <x v="4"/>
    <x v="5"/>
    <n v="506.4"/>
    <n v="4.5750000000000002"/>
    <n v="2.1"/>
    <n v="266.2"/>
    <n v="268.3"/>
    <n v="2.165"/>
  </r>
  <r>
    <x v="4"/>
    <x v="6"/>
    <n v="510.39499999999998"/>
    <n v="4.4800000000000004"/>
    <n v="2.1"/>
    <n v="269.3"/>
    <n v="271.39999999999998"/>
    <n v="2.117"/>
  </r>
  <r>
    <x v="4"/>
    <x v="7"/>
    <n v="505.3"/>
    <n v="4.9450000000000003"/>
    <n v="2.1"/>
    <n v="272.39999999999998"/>
    <n v="274.5"/>
    <n v="2.085"/>
  </r>
  <r>
    <x v="4"/>
    <x v="8"/>
    <n v="495.05500000000001"/>
    <n v="4.51"/>
    <n v="2"/>
    <n v="275.60000000000002"/>
    <n v="277.60000000000002"/>
    <n v="2.0659999999999998"/>
  </r>
  <r>
    <x v="4"/>
    <x v="9"/>
    <n v="498.745"/>
    <n v="5.9"/>
    <n v="2"/>
    <n v="278.60000000000002"/>
    <n v="280.60000000000002"/>
    <n v="2.0419999999999998"/>
  </r>
  <r>
    <x v="5"/>
    <x v="0"/>
    <n v="618.95500000000004"/>
    <n v="4.8550000000000004"/>
    <n v="3.6"/>
    <n v="281.8"/>
    <n v="285.39999999999998"/>
    <n v="3.802"/>
  </r>
  <r>
    <x v="5"/>
    <x v="1"/>
    <n v="556.48"/>
    <n v="4.88"/>
    <n v="2.6"/>
    <n v="286.60000000000002"/>
    <n v="289.2"/>
    <n v="2.7170000000000001"/>
  </r>
  <r>
    <x v="5"/>
    <x v="2"/>
    <n v="533.16999999999996"/>
    <n v="5.1050000000000004"/>
    <n v="2.2999999999999998"/>
    <n v="290.3"/>
    <n v="292.60000000000002"/>
    <n v="2.3130000000000002"/>
  </r>
  <r>
    <x v="5"/>
    <x v="3"/>
    <n v="519.89499999999998"/>
    <n v="4.75"/>
    <n v="2.1"/>
    <n v="293.60000000000002"/>
    <n v="295.7"/>
    <n v="2.105"/>
  </r>
  <r>
    <x v="5"/>
    <x v="4"/>
    <n v="497.28"/>
    <n v="5.1550000000000002"/>
    <n v="1.9"/>
    <n v="296.7"/>
    <n v="298.60000000000002"/>
    <n v="1.9930000000000001"/>
  </r>
  <r>
    <x v="5"/>
    <x v="5"/>
    <n v="503.495"/>
    <n v="4.76"/>
    <n v="1.9"/>
    <n v="299.7"/>
    <n v="301.60000000000002"/>
    <n v="1.915"/>
  </r>
  <r>
    <x v="5"/>
    <x v="6"/>
    <n v="471.53500000000003"/>
    <n v="5.27"/>
    <n v="1.8"/>
    <n v="302.60000000000002"/>
    <n v="304.39999999999998"/>
    <n v="1.865"/>
  </r>
  <r>
    <x v="5"/>
    <x v="7"/>
    <n v="464.34500000000003"/>
    <n v="4.7750000000000004"/>
    <n v="1.8"/>
    <n v="305.5"/>
    <n v="307.3"/>
    <n v="1.829"/>
  </r>
  <r>
    <x v="5"/>
    <x v="8"/>
    <n v="459.41"/>
    <n v="5.17"/>
    <n v="1.8"/>
    <n v="308.3"/>
    <n v="310.10000000000002"/>
    <n v="1.8029999999999999"/>
  </r>
  <r>
    <x v="5"/>
    <x v="9"/>
    <n v="472.91"/>
    <n v="5.8449999999999998"/>
    <n v="1.8"/>
    <n v="311.10000000000002"/>
    <n v="312.89999999999998"/>
    <n v="1.7829999999999999"/>
  </r>
  <r>
    <x v="6"/>
    <x v="0"/>
    <n v="594.65"/>
    <n v="4.99"/>
    <n v="3.4"/>
    <n v="314.10000000000002"/>
    <n v="317.5"/>
    <n v="3.6629999999999998"/>
  </r>
  <r>
    <x v="6"/>
    <x v="1"/>
    <n v="551.67999999999995"/>
    <n v="4.5049999999999999"/>
    <n v="2.6"/>
    <n v="318.60000000000002"/>
    <n v="321.2"/>
    <n v="2.6120000000000001"/>
  </r>
  <r>
    <x v="6"/>
    <x v="2"/>
    <n v="513.48"/>
    <n v="4.41"/>
    <n v="2.1"/>
    <n v="322.2"/>
    <n v="324.3"/>
    <n v="2.1739999999999999"/>
  </r>
  <r>
    <x v="6"/>
    <x v="3"/>
    <n v="496.13"/>
    <n v="4.7300000000000004"/>
    <n v="2"/>
    <n v="325.39999999999998"/>
    <n v="327.39999999999998"/>
    <n v="1.9510000000000001"/>
  </r>
  <r>
    <x v="6"/>
    <x v="4"/>
    <n v="454.38"/>
    <n v="4.1349999999999998"/>
    <n v="1.8"/>
    <n v="328.4"/>
    <n v="330.2"/>
    <n v="1.8280000000000001"/>
  </r>
  <r>
    <x v="6"/>
    <x v="5"/>
    <n v="435.54"/>
    <n v="4.9749999999999996"/>
    <n v="1.7"/>
    <n v="331.2"/>
    <n v="332.9"/>
    <n v="1.744"/>
  </r>
  <r>
    <x v="6"/>
    <x v="6"/>
    <n v="446.94499999999999"/>
    <n v="4.33"/>
    <n v="1.6"/>
    <n v="334"/>
    <n v="335.6"/>
    <n v="1.6910000000000001"/>
  </r>
  <r>
    <x v="6"/>
    <x v="7"/>
    <n v="502.96499999999997"/>
    <n v="4.54"/>
    <n v="1.7"/>
    <n v="336.6"/>
    <n v="338.3"/>
    <n v="1.651"/>
  </r>
  <r>
    <x v="6"/>
    <x v="8"/>
    <n v="425.54"/>
    <n v="4.3600000000000003"/>
    <n v="1.6"/>
    <n v="339.3"/>
    <n v="340.9"/>
    <n v="1.623"/>
  </r>
  <r>
    <x v="6"/>
    <x v="9"/>
    <n v="496.4"/>
    <n v="5.6950000000000003"/>
    <n v="1.6"/>
    <n v="341.9"/>
    <n v="343.5"/>
    <n v="1.603"/>
  </r>
  <r>
    <x v="7"/>
    <x v="0"/>
    <n v="572.71"/>
    <n v="4.63"/>
    <n v="3.3"/>
    <n v="344.7"/>
    <n v="348"/>
    <n v="3.5419999999999998"/>
  </r>
  <r>
    <x v="7"/>
    <x v="1"/>
    <n v="514.49"/>
    <n v="4.7149999999999999"/>
    <n v="2.4"/>
    <n v="349.2"/>
    <n v="351.6"/>
    <n v="2.5259999999999998"/>
  </r>
  <r>
    <x v="7"/>
    <x v="2"/>
    <n v="496.35500000000002"/>
    <n v="4.9550000000000001"/>
    <n v="2"/>
    <n v="352.7"/>
    <n v="354.7"/>
    <n v="2.0779999999999998"/>
  </r>
  <r>
    <x v="7"/>
    <x v="3"/>
    <n v="482.65"/>
    <n v="4.8499999999999996"/>
    <n v="1.8"/>
    <n v="355.8"/>
    <n v="357.6"/>
    <n v="1.841"/>
  </r>
  <r>
    <x v="7"/>
    <x v="4"/>
    <n v="477.30500000000001"/>
    <n v="4.4550000000000001"/>
    <n v="1.7"/>
    <n v="358.6"/>
    <n v="360.3"/>
    <n v="1.7110000000000001"/>
  </r>
  <r>
    <x v="7"/>
    <x v="5"/>
    <n v="429.96"/>
    <n v="4.78"/>
    <n v="1.5"/>
    <n v="361.3"/>
    <n v="362.8"/>
    <n v="1.619"/>
  </r>
  <r>
    <x v="7"/>
    <x v="6"/>
    <n v="456.315"/>
    <n v="5.6"/>
    <n v="1.5"/>
    <n v="363.9"/>
    <n v="365.4"/>
    <n v="1.5629999999999999"/>
  </r>
  <r>
    <x v="7"/>
    <x v="7"/>
    <n v="476.73500000000001"/>
    <n v="5.16"/>
    <n v="1.5"/>
    <n v="366.5"/>
    <n v="368"/>
    <n v="1.524"/>
  </r>
  <r>
    <x v="7"/>
    <x v="8"/>
    <n v="427.11"/>
    <n v="5.3650000000000002"/>
    <n v="1.4"/>
    <n v="369.1"/>
    <n v="370.5"/>
    <n v="1.4950000000000001"/>
  </r>
  <r>
    <x v="7"/>
    <x v="9"/>
    <n v="418.505"/>
    <n v="9.2850000000000001"/>
    <n v="1.3"/>
    <n v="371.6"/>
    <n v="372.9"/>
    <n v="1.4690000000000001"/>
  </r>
  <r>
    <x v="8"/>
    <x v="0"/>
    <n v="556.1"/>
    <n v="4.5449999999999999"/>
    <n v="3.2"/>
    <n v="374.2"/>
    <n v="377.4"/>
    <n v="3.4449999999999998"/>
  </r>
  <r>
    <x v="8"/>
    <x v="1"/>
    <n v="496.01"/>
    <n v="4.7300000000000004"/>
    <n v="2.2999999999999998"/>
    <n v="378.6"/>
    <n v="380.9"/>
    <n v="2.4540000000000002"/>
  </r>
  <r>
    <x v="8"/>
    <x v="2"/>
    <n v="487.23"/>
    <n v="4.6050000000000004"/>
    <n v="2"/>
    <n v="382"/>
    <n v="384"/>
    <n v="2.0129999999999999"/>
  </r>
  <r>
    <x v="8"/>
    <x v="3"/>
    <n v="479.47500000000002"/>
    <n v="4.7249999999999996"/>
    <n v="1.7"/>
    <n v="385"/>
    <n v="386.7"/>
    <n v="1.7649999999999999"/>
  </r>
  <r>
    <x v="8"/>
    <x v="4"/>
    <n v="449.745"/>
    <n v="4.8600000000000003"/>
    <n v="1.5"/>
    <n v="387.8"/>
    <n v="389.3"/>
    <n v="1.6259999999999999"/>
  </r>
  <r>
    <x v="8"/>
    <x v="5"/>
    <n v="458.32499999999999"/>
    <n v="5.19"/>
    <n v="1.4"/>
    <n v="390.4"/>
    <n v="391.8"/>
    <n v="1.5349999999999999"/>
  </r>
  <r>
    <x v="8"/>
    <x v="6"/>
    <n v="450.56"/>
    <n v="5.585"/>
    <n v="1.4"/>
    <n v="392.9"/>
    <n v="394.3"/>
    <n v="1.4690000000000001"/>
  </r>
  <r>
    <x v="8"/>
    <x v="7"/>
    <n v="437.92500000000001"/>
    <n v="8.4700000000000006"/>
    <n v="1.3"/>
    <n v="395.4"/>
    <n v="396.7"/>
    <n v="1.429"/>
  </r>
  <r>
    <x v="8"/>
    <x v="8"/>
    <n v="450.58499999999998"/>
    <n v="6.57"/>
    <n v="1.3"/>
    <n v="397.9"/>
    <n v="399.2"/>
    <n v="1.393"/>
  </r>
  <r>
    <x v="8"/>
    <x v="9"/>
    <n v="448.07"/>
    <n v="9.92"/>
    <n v="1.2"/>
    <n v="400.3"/>
    <n v="401.5"/>
    <n v="1.3640000000000001"/>
  </r>
  <r>
    <x v="9"/>
    <x v="0"/>
    <n v="550.54999999999995"/>
    <n v="4.335"/>
    <n v="3.2"/>
    <n v="402.8"/>
    <n v="406"/>
    <n v="3.411"/>
  </r>
  <r>
    <x v="9"/>
    <x v="1"/>
    <n v="497.67"/>
    <n v="4.72"/>
    <n v="2.2999999999999998"/>
    <n v="407.1"/>
    <n v="409.4"/>
    <n v="2.39"/>
  </r>
  <r>
    <x v="9"/>
    <x v="2"/>
    <n v="467.09"/>
    <n v="5.3650000000000002"/>
    <n v="1.9"/>
    <n v="410.5"/>
    <n v="412.4"/>
    <n v="1.9650000000000001"/>
  </r>
  <r>
    <x v="9"/>
    <x v="3"/>
    <n v="451"/>
    <n v="4.37"/>
    <n v="1.6"/>
    <n v="413.5"/>
    <n v="415.1"/>
    <n v="1.7110000000000001"/>
  </r>
  <r>
    <x v="9"/>
    <x v="4"/>
    <n v="447.08499999999998"/>
    <n v="4.91"/>
    <n v="1.5"/>
    <n v="416.1"/>
    <n v="417.6"/>
    <n v="1.5649999999999999"/>
  </r>
  <r>
    <x v="9"/>
    <x v="5"/>
    <n v="450.70499999999998"/>
    <n v="5.0049999999999999"/>
    <n v="1.4"/>
    <n v="418.7"/>
    <n v="420.1"/>
    <n v="1.4630000000000001"/>
  </r>
  <r>
    <x v="9"/>
    <x v="6"/>
    <n v="437.98"/>
    <n v="5.51"/>
    <n v="1.3"/>
    <n v="421.2"/>
    <n v="422.5"/>
    <n v="1.399"/>
  </r>
  <r>
    <x v="9"/>
    <x v="7"/>
    <n v="447.53"/>
    <n v="6.6749999999999998"/>
    <n v="1.3"/>
    <n v="423.6"/>
    <n v="424.9"/>
    <n v="1.3520000000000001"/>
  </r>
  <r>
    <x v="9"/>
    <x v="8"/>
    <n v="437.18"/>
    <n v="9.0250000000000004"/>
    <n v="1.2"/>
    <n v="426"/>
    <n v="427.2"/>
    <n v="1.3140000000000001"/>
  </r>
  <r>
    <x v="9"/>
    <x v="9"/>
    <n v="471.21499999999997"/>
    <n v="79.48"/>
    <n v="1.2"/>
    <n v="428.3"/>
    <n v="429.5"/>
    <n v="1.2869999999999999"/>
  </r>
  <r>
    <x v="10"/>
    <x v="10"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x v="0"/>
    <x v="0"/>
    <n v="1118.21"/>
    <n v="4.37"/>
    <n v="9.3000000000000007"/>
    <n v="5.7"/>
    <n v="15"/>
    <n v="9.6340000000000003"/>
  </r>
  <r>
    <x v="0"/>
    <x v="1"/>
    <n v="1089.6500000000001"/>
    <n v="5.29"/>
    <n v="9"/>
    <n v="16.2"/>
    <n v="25.2"/>
    <n v="9.1379999999999999"/>
  </r>
  <r>
    <x v="0"/>
    <x v="2"/>
    <n v="1067.1199999999999"/>
    <n v="4.8250000000000002"/>
    <n v="8.8000000000000007"/>
    <n v="26.4"/>
    <n v="35.200000000000003"/>
    <n v="8.9740000000000002"/>
  </r>
  <r>
    <x v="0"/>
    <x v="3"/>
    <n v="1067.2049999999999"/>
    <n v="4.875"/>
    <n v="8.8000000000000007"/>
    <n v="36.299999999999997"/>
    <n v="45.1"/>
    <n v="8.8859999999999992"/>
  </r>
  <r>
    <x v="0"/>
    <x v="4"/>
    <n v="1082.0150000000001"/>
    <n v="4.96"/>
    <n v="8.9"/>
    <n v="46.2"/>
    <n v="55.1"/>
    <n v="8.8420000000000005"/>
  </r>
  <r>
    <x v="0"/>
    <x v="5"/>
    <n v="1058.9449999999999"/>
    <n v="5.14"/>
    <n v="8.6999999999999993"/>
    <n v="56.1"/>
    <n v="64.8"/>
    <n v="8.8000000000000007"/>
  </r>
  <r>
    <x v="0"/>
    <x v="6"/>
    <n v="1070.19"/>
    <n v="4.04"/>
    <n v="8.8000000000000007"/>
    <n v="65.900000000000006"/>
    <n v="74.7"/>
    <n v="8.7799999999999994"/>
  </r>
  <r>
    <x v="0"/>
    <x v="7"/>
    <n v="1070.1099999999999"/>
    <n v="4.53"/>
    <n v="8.8000000000000007"/>
    <n v="75.599999999999994"/>
    <n v="84.4"/>
    <n v="8.766"/>
  </r>
  <r>
    <x v="0"/>
    <x v="8"/>
    <n v="1068.96"/>
    <n v="4.0750000000000002"/>
    <n v="8.8000000000000007"/>
    <n v="85.4"/>
    <n v="94.2"/>
    <n v="8.7539999999999996"/>
  </r>
  <r>
    <x v="0"/>
    <x v="9"/>
    <n v="1082.3499999999999"/>
    <n v="5.3550000000000004"/>
    <n v="8.9"/>
    <n v="95.1"/>
    <n v="104"/>
    <n v="8.7460000000000004"/>
  </r>
  <r>
    <x v="1"/>
    <x v="0"/>
    <n v="761.74"/>
    <n v="4.6349999999999998"/>
    <n v="5.4"/>
    <n v="105.1"/>
    <n v="110.5"/>
    <n v="5.7610000000000001"/>
  </r>
  <r>
    <x v="1"/>
    <x v="1"/>
    <n v="711.35"/>
    <n v="4.8049999999999997"/>
    <n v="4.9000000000000004"/>
    <n v="111.8"/>
    <n v="116.7"/>
    <n v="5.0599999999999996"/>
  </r>
  <r>
    <x v="1"/>
    <x v="2"/>
    <n v="699.82"/>
    <n v="4.53"/>
    <n v="4.8"/>
    <n v="117.8"/>
    <n v="122.6"/>
    <n v="4.83"/>
  </r>
  <r>
    <x v="1"/>
    <x v="3"/>
    <n v="690.09"/>
    <n v="4.7"/>
    <n v="4.7"/>
    <n v="123.6"/>
    <n v="128.30000000000001"/>
    <n v="4.71"/>
  </r>
  <r>
    <x v="1"/>
    <x v="4"/>
    <n v="692.38499999999999"/>
    <n v="5.14"/>
    <n v="4.7"/>
    <n v="129.30000000000001"/>
    <n v="134"/>
    <n v="4.6340000000000003"/>
  </r>
  <r>
    <x v="1"/>
    <x v="5"/>
    <n v="681.57"/>
    <n v="5.16"/>
    <n v="4.5999999999999996"/>
    <n v="135"/>
    <n v="139.6"/>
    <n v="4.593"/>
  </r>
  <r>
    <x v="1"/>
    <x v="6"/>
    <n v="681.65"/>
    <n v="4.4850000000000003"/>
    <n v="4.5999999999999996"/>
    <n v="140.6"/>
    <n v="145.19999999999999"/>
    <n v="4.5620000000000003"/>
  </r>
  <r>
    <x v="1"/>
    <x v="7"/>
    <n v="680.2"/>
    <n v="4.7300000000000004"/>
    <n v="4.5999999999999996"/>
    <n v="146.1"/>
    <n v="150.69999999999999"/>
    <n v="4.5410000000000004"/>
  </r>
  <r>
    <x v="1"/>
    <x v="8"/>
    <n v="667.78499999999997"/>
    <n v="5.5449999999999999"/>
    <n v="4.5"/>
    <n v="151.69999999999999"/>
    <n v="156.19999999999999"/>
    <n v="4.5279999999999996"/>
  </r>
  <r>
    <x v="1"/>
    <x v="9"/>
    <n v="667.48"/>
    <n v="5.36"/>
    <n v="4.5"/>
    <n v="157.30000000000001"/>
    <n v="161.80000000000001"/>
    <n v="4.516"/>
  </r>
  <r>
    <x v="2"/>
    <x v="0"/>
    <n v="671.55499999999995"/>
    <n v="4.8449999999999998"/>
    <n v="4.4000000000000004"/>
    <n v="162.9"/>
    <n v="167.3"/>
    <n v="4.6509999999999998"/>
  </r>
  <r>
    <x v="2"/>
    <x v="1"/>
    <n v="608.73"/>
    <n v="5.16"/>
    <n v="3.7"/>
    <n v="168.5"/>
    <n v="172.2"/>
    <n v="3.7869999999999999"/>
  </r>
  <r>
    <x v="2"/>
    <x v="2"/>
    <n v="584.20000000000005"/>
    <n v="5.24"/>
    <n v="3.4"/>
    <n v="173.3"/>
    <n v="176.7"/>
    <n v="3.4990000000000001"/>
  </r>
  <r>
    <x v="2"/>
    <x v="3"/>
    <n v="562.72"/>
    <n v="5.2050000000000001"/>
    <n v="3.2"/>
    <n v="177.8"/>
    <n v="181"/>
    <n v="3.3530000000000002"/>
  </r>
  <r>
    <x v="2"/>
    <x v="4"/>
    <n v="577.61"/>
    <n v="5.13"/>
    <n v="3.3"/>
    <n v="182.1"/>
    <n v="185.4"/>
    <n v="3.2719999999999998"/>
  </r>
  <r>
    <x v="2"/>
    <x v="5"/>
    <n v="550.68499999999995"/>
    <n v="4.9000000000000004"/>
    <n v="3.2"/>
    <n v="186.4"/>
    <n v="189.6"/>
    <n v="3.22"/>
  </r>
  <r>
    <x v="2"/>
    <x v="6"/>
    <n v="563.18499999999995"/>
    <n v="4.665"/>
    <n v="3.2"/>
    <n v="190.6"/>
    <n v="193.8"/>
    <n v="3.181"/>
  </r>
  <r>
    <x v="2"/>
    <x v="7"/>
    <n v="548.755"/>
    <n v="4.7450000000000001"/>
    <n v="3.2"/>
    <n v="194.8"/>
    <n v="198"/>
    <n v="3.16"/>
  </r>
  <r>
    <x v="2"/>
    <x v="8"/>
    <n v="567.79"/>
    <n v="4.3600000000000003"/>
    <n v="3.2"/>
    <n v="199"/>
    <n v="202.2"/>
    <n v="3.1419999999999999"/>
  </r>
  <r>
    <x v="2"/>
    <x v="9"/>
    <n v="542.84"/>
    <n v="5.78"/>
    <n v="3.1"/>
    <n v="203.1"/>
    <n v="206.2"/>
    <n v="3.13"/>
  </r>
  <r>
    <x v="3"/>
    <x v="0"/>
    <n v="626.63499999999999"/>
    <n v="3.875"/>
    <n v="3.9"/>
    <n v="207.4"/>
    <n v="211.3"/>
    <n v="4.2039999999999997"/>
  </r>
  <r>
    <x v="3"/>
    <x v="1"/>
    <n v="574.90499999999997"/>
    <n v="5.3250000000000002"/>
    <n v="3.2"/>
    <n v="212.5"/>
    <n v="215.7"/>
    <n v="3.206"/>
  </r>
  <r>
    <x v="3"/>
    <x v="2"/>
    <n v="531.20500000000004"/>
    <n v="5"/>
    <n v="2.7"/>
    <n v="216.8"/>
    <n v="219.5"/>
    <n v="2.8759999999999999"/>
  </r>
  <r>
    <x v="3"/>
    <x v="3"/>
    <n v="514.65499999999997"/>
    <n v="5.0049999999999999"/>
    <n v="2.7"/>
    <n v="220.6"/>
    <n v="223.3"/>
    <n v="2.7050000000000001"/>
  </r>
  <r>
    <x v="3"/>
    <x v="4"/>
    <n v="506.69499999999999"/>
    <n v="4.6950000000000003"/>
    <n v="2.6"/>
    <n v="224.3"/>
    <n v="226.9"/>
    <n v="2.61"/>
  </r>
  <r>
    <x v="3"/>
    <x v="5"/>
    <n v="503.77"/>
    <n v="4.88"/>
    <n v="2.6"/>
    <n v="227.9"/>
    <n v="230.5"/>
    <n v="2.5510000000000002"/>
  </r>
  <r>
    <x v="3"/>
    <x v="6"/>
    <n v="497.27"/>
    <n v="4.9649999999999999"/>
    <n v="2.5"/>
    <n v="231.5"/>
    <n v="234"/>
    <n v="2.508"/>
  </r>
  <r>
    <x v="3"/>
    <x v="7"/>
    <n v="514.01"/>
    <n v="4.8150000000000004"/>
    <n v="2.5"/>
    <n v="235"/>
    <n v="237.5"/>
    <n v="2.484"/>
  </r>
  <r>
    <x v="3"/>
    <x v="8"/>
    <n v="498.85"/>
    <n v="5"/>
    <n v="2.5"/>
    <n v="238.5"/>
    <n v="241"/>
    <n v="2.4630000000000001"/>
  </r>
  <r>
    <x v="3"/>
    <x v="9"/>
    <n v="495.11500000000001"/>
    <n v="5.7850000000000001"/>
    <n v="2.4"/>
    <n v="242"/>
    <n v="244.4"/>
    <n v="2.4460000000000002"/>
  </r>
  <r>
    <x v="4"/>
    <x v="0"/>
    <n v="611.79999999999995"/>
    <n v="5.0449999999999999"/>
    <n v="3.7"/>
    <n v="245.6"/>
    <n v="249.3"/>
    <n v="3.9790000000000001"/>
  </r>
  <r>
    <x v="4"/>
    <x v="1"/>
    <n v="541.02499999999998"/>
    <n v="4.9649999999999999"/>
    <n v="2.8"/>
    <n v="250.5"/>
    <n v="253.3"/>
    <n v="2.8940000000000001"/>
  </r>
  <r>
    <x v="4"/>
    <x v="2"/>
    <n v="515.90499999999997"/>
    <n v="5.35"/>
    <n v="2.4"/>
    <n v="254.4"/>
    <n v="256.8"/>
    <n v="2.524"/>
  </r>
  <r>
    <x v="4"/>
    <x v="3"/>
    <n v="514.16999999999996"/>
    <n v="4.63"/>
    <n v="2.2999999999999998"/>
    <n v="257.89999999999998"/>
    <n v="260.2"/>
    <n v="2.34"/>
  </r>
  <r>
    <x v="4"/>
    <x v="4"/>
    <n v="519.97500000000002"/>
    <n v="4.58"/>
    <n v="2.2999999999999998"/>
    <n v="261.2"/>
    <n v="263.5"/>
    <n v="2.2309999999999999"/>
  </r>
  <r>
    <x v="4"/>
    <x v="5"/>
    <n v="497.47"/>
    <n v="4.9550000000000001"/>
    <n v="2.1"/>
    <n v="264.5"/>
    <n v="266.60000000000002"/>
    <n v="2.1659999999999999"/>
  </r>
  <r>
    <x v="4"/>
    <x v="6"/>
    <n v="495.27"/>
    <n v="5.25"/>
    <n v="2.1"/>
    <n v="267.60000000000002"/>
    <n v="269.7"/>
    <n v="2.1160000000000001"/>
  </r>
  <r>
    <x v="4"/>
    <x v="7"/>
    <n v="489.89499999999998"/>
    <n v="4.6749999999999998"/>
    <n v="2"/>
    <n v="270.8"/>
    <n v="272.8"/>
    <n v="2.085"/>
  </r>
  <r>
    <x v="4"/>
    <x v="8"/>
    <n v="496.73"/>
    <n v="4.4850000000000003"/>
    <n v="2.1"/>
    <n v="273.8"/>
    <n v="275.89999999999998"/>
    <n v="2.0630000000000002"/>
  </r>
  <r>
    <x v="4"/>
    <x v="9"/>
    <n v="479.61500000000001"/>
    <n v="6.1349999999999998"/>
    <n v="2"/>
    <n v="276.89999999999998"/>
    <n v="278.89999999999998"/>
    <n v="2.0430000000000001"/>
  </r>
  <r>
    <x v="5"/>
    <x v="0"/>
    <n v="599.07000000000005"/>
    <n v="5.6"/>
    <n v="3.5"/>
    <n v="280.10000000000002"/>
    <n v="283.60000000000002"/>
    <n v="3.8010000000000002"/>
  </r>
  <r>
    <x v="5"/>
    <x v="1"/>
    <n v="537.76"/>
    <n v="5.39"/>
    <n v="2.6"/>
    <n v="284.89999999999998"/>
    <n v="287.5"/>
    <n v="2.7160000000000002"/>
  </r>
  <r>
    <x v="5"/>
    <x v="2"/>
    <n v="508.48500000000001"/>
    <n v="5.24"/>
    <n v="2.2000000000000002"/>
    <n v="288.60000000000002"/>
    <n v="290.8"/>
    <n v="2.3090000000000002"/>
  </r>
  <r>
    <x v="5"/>
    <x v="3"/>
    <n v="492.79500000000002"/>
    <n v="5.0750000000000002"/>
    <n v="2.1"/>
    <n v="291.89999999999998"/>
    <n v="294"/>
    <n v="2.1110000000000002"/>
  </r>
  <r>
    <x v="5"/>
    <x v="4"/>
    <n v="495.28"/>
    <n v="4.87"/>
    <n v="1.9"/>
    <n v="295"/>
    <n v="296.89999999999998"/>
    <n v="1.992"/>
  </r>
  <r>
    <x v="5"/>
    <x v="5"/>
    <n v="473.61500000000001"/>
    <n v="5.12"/>
    <n v="2"/>
    <n v="297.89999999999998"/>
    <n v="299.89999999999998"/>
    <n v="1.915"/>
  </r>
  <r>
    <x v="5"/>
    <x v="6"/>
    <n v="457.29500000000002"/>
    <n v="5.4450000000000003"/>
    <n v="1.8"/>
    <n v="300.89999999999998"/>
    <n v="302.7"/>
    <n v="1.865"/>
  </r>
  <r>
    <x v="5"/>
    <x v="7"/>
    <n v="466.64"/>
    <n v="4.6900000000000004"/>
    <n v="1.8"/>
    <n v="303.8"/>
    <n v="305.60000000000002"/>
    <n v="1.831"/>
  </r>
  <r>
    <x v="5"/>
    <x v="8"/>
    <n v="479.49"/>
    <n v="4.75"/>
    <n v="1.8"/>
    <n v="306.60000000000002"/>
    <n v="308.39999999999998"/>
    <n v="1.806"/>
  </r>
  <r>
    <x v="5"/>
    <x v="9"/>
    <n v="486.14"/>
    <n v="5.4749999999999996"/>
    <n v="1.8"/>
    <n v="309.39999999999998"/>
    <n v="311.2"/>
    <n v="1.7869999999999999"/>
  </r>
  <r>
    <x v="6"/>
    <x v="0"/>
    <n v="579.21500000000003"/>
    <n v="4.91"/>
    <n v="3.4"/>
    <n v="312.3"/>
    <n v="315.7"/>
    <n v="3.661"/>
  </r>
  <r>
    <x v="6"/>
    <x v="1"/>
    <n v="526.24"/>
    <n v="5"/>
    <n v="2.5"/>
    <n v="317"/>
    <n v="319.5"/>
    <n v="2.61"/>
  </r>
  <r>
    <x v="6"/>
    <x v="2"/>
    <n v="484.58499999999998"/>
    <n v="5.0599999999999996"/>
    <n v="2"/>
    <n v="320.60000000000002"/>
    <n v="322.60000000000002"/>
    <n v="2.173"/>
  </r>
  <r>
    <x v="6"/>
    <x v="3"/>
    <n v="457.75"/>
    <n v="5.47"/>
    <n v="1.9"/>
    <n v="323.7"/>
    <n v="325.60000000000002"/>
    <n v="1.9490000000000001"/>
  </r>
  <r>
    <x v="6"/>
    <x v="4"/>
    <n v="473.91500000000002"/>
    <n v="4.83"/>
    <n v="1.8"/>
    <n v="326.7"/>
    <n v="328.5"/>
    <n v="1.825"/>
  </r>
  <r>
    <x v="6"/>
    <x v="5"/>
    <n v="465.65"/>
    <n v="5.375"/>
    <n v="1.7"/>
    <n v="329.5"/>
    <n v="331.2"/>
    <n v="1.7430000000000001"/>
  </r>
  <r>
    <x v="6"/>
    <x v="6"/>
    <n v="401.63"/>
    <n v="5.43"/>
    <n v="1.5"/>
    <n v="332.3"/>
    <n v="333.8"/>
    <n v="1.6890000000000001"/>
  </r>
  <r>
    <x v="6"/>
    <x v="7"/>
    <n v="461.51499999999999"/>
    <n v="5.2549999999999999"/>
    <n v="1.6"/>
    <n v="334.9"/>
    <n v="336.5"/>
    <n v="1.6539999999999999"/>
  </r>
  <r>
    <x v="6"/>
    <x v="8"/>
    <n v="428.53"/>
    <n v="5.01"/>
    <n v="1.6"/>
    <n v="337.6"/>
    <n v="339.2"/>
    <n v="1.623"/>
  </r>
  <r>
    <x v="6"/>
    <x v="9"/>
    <n v="469.86"/>
    <n v="6.8049999999999997"/>
    <n v="1.6"/>
    <n v="340.2"/>
    <n v="341.8"/>
    <n v="1.599"/>
  </r>
  <r>
    <x v="7"/>
    <x v="0"/>
    <n v="558"/>
    <n v="4.9550000000000001"/>
    <n v="3.3"/>
    <n v="343"/>
    <n v="346.3"/>
    <n v="3.5449999999999999"/>
  </r>
  <r>
    <x v="7"/>
    <x v="1"/>
    <n v="488.91500000000002"/>
    <n v="5.4450000000000003"/>
    <n v="2.2999999999999998"/>
    <n v="347.5"/>
    <n v="349.8"/>
    <n v="2.5249999999999999"/>
  </r>
  <r>
    <x v="7"/>
    <x v="2"/>
    <n v="491.28"/>
    <n v="5.62"/>
    <n v="2"/>
    <n v="351"/>
    <n v="353"/>
    <n v="2.077"/>
  </r>
  <r>
    <x v="7"/>
    <x v="3"/>
    <n v="465.5"/>
    <n v="5.2249999999999996"/>
    <n v="1.7"/>
    <n v="354.1"/>
    <n v="355.8"/>
    <n v="1.841"/>
  </r>
  <r>
    <x v="7"/>
    <x v="4"/>
    <n v="461.26499999999999"/>
    <n v="5.2"/>
    <n v="1.6"/>
    <n v="356.9"/>
    <n v="358.5"/>
    <n v="1.7090000000000001"/>
  </r>
  <r>
    <x v="7"/>
    <x v="5"/>
    <n v="419.17"/>
    <n v="5.2949999999999999"/>
    <n v="1.5"/>
    <n v="359.6"/>
    <n v="361.1"/>
    <n v="1.619"/>
  </r>
  <r>
    <x v="7"/>
    <x v="6"/>
    <n v="461.55500000000001"/>
    <n v="5.7450000000000001"/>
    <n v="1.5"/>
    <n v="362.2"/>
    <n v="363.7"/>
    <n v="1.5640000000000001"/>
  </r>
  <r>
    <x v="7"/>
    <x v="7"/>
    <n v="435.565"/>
    <n v="5.56"/>
    <n v="1.5"/>
    <n v="364.8"/>
    <n v="366.3"/>
    <n v="1.524"/>
  </r>
  <r>
    <x v="7"/>
    <x v="8"/>
    <n v="402.33"/>
    <n v="7.585"/>
    <n v="1.3"/>
    <n v="367.4"/>
    <n v="368.7"/>
    <n v="1.4930000000000001"/>
  </r>
  <r>
    <x v="7"/>
    <x v="9"/>
    <n v="449.87"/>
    <n v="9.9"/>
    <n v="1.4"/>
    <n v="369.8"/>
    <n v="371.2"/>
    <n v="1.468"/>
  </r>
  <r>
    <x v="8"/>
    <x v="0"/>
    <n v="534.62"/>
    <n v="5.0049999999999999"/>
    <n v="3.1"/>
    <n v="372.5"/>
    <n v="375.6"/>
    <n v="3.4409999999999998"/>
  </r>
  <r>
    <x v="8"/>
    <x v="1"/>
    <n v="490.66500000000002"/>
    <n v="4.82"/>
    <n v="2.2999999999999998"/>
    <n v="376.8"/>
    <n v="379.1"/>
    <n v="2.4529999999999998"/>
  </r>
  <r>
    <x v="8"/>
    <x v="2"/>
    <n v="478.27"/>
    <n v="5.5"/>
    <n v="2"/>
    <n v="380.2"/>
    <n v="382.2"/>
    <n v="2.0129999999999999"/>
  </r>
  <r>
    <x v="8"/>
    <x v="3"/>
    <n v="463.51499999999999"/>
    <n v="5.37"/>
    <n v="1.7"/>
    <n v="383.3"/>
    <n v="385"/>
    <n v="1.7689999999999999"/>
  </r>
  <r>
    <x v="8"/>
    <x v="4"/>
    <n v="435.18"/>
    <n v="5.45"/>
    <n v="1.5"/>
    <n v="386.1"/>
    <n v="387.6"/>
    <n v="1.625"/>
  </r>
  <r>
    <x v="8"/>
    <x v="5"/>
    <n v="444.23500000000001"/>
    <n v="5.4450000000000003"/>
    <n v="1.4"/>
    <n v="388.7"/>
    <n v="390.1"/>
    <n v="1.5329999999999999"/>
  </r>
  <r>
    <x v="8"/>
    <x v="6"/>
    <n v="441.065"/>
    <n v="6.01"/>
    <n v="1.4"/>
    <n v="391.2"/>
    <n v="392.6"/>
    <n v="1.4710000000000001"/>
  </r>
  <r>
    <x v="8"/>
    <x v="7"/>
    <n v="422.69499999999999"/>
    <n v="6.7350000000000003"/>
    <n v="1.3"/>
    <n v="393.7"/>
    <n v="395"/>
    <n v="1.427"/>
  </r>
  <r>
    <x v="8"/>
    <x v="8"/>
    <n v="426.1"/>
    <n v="8.4"/>
    <n v="1.3"/>
    <n v="396.1"/>
    <n v="397.4"/>
    <n v="1.3919999999999999"/>
  </r>
  <r>
    <x v="8"/>
    <x v="9"/>
    <n v="429.55500000000001"/>
    <n v="10.74"/>
    <n v="1.3"/>
    <n v="398.5"/>
    <n v="399.8"/>
    <n v="1.365"/>
  </r>
  <r>
    <x v="9"/>
    <x v="0"/>
    <n v="527.41499999999996"/>
    <n v="5.29"/>
    <n v="3.1"/>
    <n v="401.1"/>
    <n v="404.2"/>
    <n v="3.411"/>
  </r>
  <r>
    <x v="9"/>
    <x v="1"/>
    <n v="482.685"/>
    <n v="5.33"/>
    <n v="2.2999999999999998"/>
    <n v="405.4"/>
    <n v="407.7"/>
    <n v="2.3919999999999999"/>
  </r>
  <r>
    <x v="9"/>
    <x v="2"/>
    <n v="440.13"/>
    <n v="4.93"/>
    <n v="1.8"/>
    <n v="408.8"/>
    <n v="410.6"/>
    <n v="1.9650000000000001"/>
  </r>
  <r>
    <x v="9"/>
    <x v="3"/>
    <n v="431.66500000000002"/>
    <n v="5.0999999999999996"/>
    <n v="1.6"/>
    <n v="411.7"/>
    <n v="413.3"/>
    <n v="1.712"/>
  </r>
  <r>
    <x v="9"/>
    <x v="4"/>
    <n v="443.76499999999999"/>
    <n v="5.3949999999999996"/>
    <n v="1.5"/>
    <n v="414.4"/>
    <n v="415.9"/>
    <n v="1.5669999999999999"/>
  </r>
  <r>
    <x v="9"/>
    <x v="5"/>
    <n v="423.76"/>
    <n v="6.64"/>
    <n v="1.3"/>
    <n v="417"/>
    <n v="418.3"/>
    <n v="1.466"/>
  </r>
  <r>
    <x v="9"/>
    <x v="6"/>
    <n v="409.94"/>
    <n v="9.06"/>
    <n v="1.2"/>
    <n v="419.5"/>
    <n v="420.7"/>
    <n v="1.399"/>
  </r>
  <r>
    <x v="9"/>
    <x v="7"/>
    <n v="411.37"/>
    <n v="9.5649999999999995"/>
    <n v="1.2"/>
    <n v="421.9"/>
    <n v="423.1"/>
    <n v="1.353"/>
  </r>
  <r>
    <x v="9"/>
    <x v="8"/>
    <n v="423.90499999999997"/>
    <n v="12.6"/>
    <n v="1.1000000000000001"/>
    <n v="424.3"/>
    <n v="425.4"/>
    <n v="1.3140000000000001"/>
  </r>
  <r>
    <x v="9"/>
    <x v="9"/>
    <n v="434.1"/>
    <n v="52.59"/>
    <n v="1.2"/>
    <n v="426.6"/>
    <n v="427.8"/>
    <n v="1.288"/>
  </r>
  <r>
    <x v="10"/>
    <x v="10"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x v="0"/>
    <x v="0"/>
    <n v="1094.71"/>
    <n v="4.3899999999999997"/>
    <n v="9.1999999999999993"/>
    <n v="4.7"/>
    <n v="13.9"/>
    <n v="9.6359999999999992"/>
  </r>
  <r>
    <x v="0"/>
    <x v="1"/>
    <n v="1078.0150000000001"/>
    <n v="4.7750000000000004"/>
    <n v="9"/>
    <n v="15.2"/>
    <n v="24.2"/>
    <n v="9.1379999999999999"/>
  </r>
  <r>
    <x v="0"/>
    <x v="2"/>
    <n v="1065.905"/>
    <n v="5.2350000000000003"/>
    <n v="8.9"/>
    <n v="25.3"/>
    <n v="34.200000000000003"/>
    <n v="8.9689999999999994"/>
  </r>
  <r>
    <x v="0"/>
    <x v="3"/>
    <n v="1055.7650000000001"/>
    <n v="3.625"/>
    <n v="8.8000000000000007"/>
    <n v="35.299999999999997"/>
    <n v="44.1"/>
    <n v="8.8859999999999992"/>
  </r>
  <r>
    <x v="0"/>
    <x v="4"/>
    <n v="1054.9349999999999"/>
    <n v="5.0549999999999997"/>
    <n v="8.8000000000000007"/>
    <n v="45.1"/>
    <n v="53.9"/>
    <n v="8.8379999999999992"/>
  </r>
  <r>
    <x v="0"/>
    <x v="5"/>
    <n v="1057.45"/>
    <n v="4.71"/>
    <n v="8.8000000000000007"/>
    <n v="55"/>
    <n v="63.8"/>
    <n v="8.8059999999999992"/>
  </r>
  <r>
    <x v="0"/>
    <x v="6"/>
    <n v="1044.2149999999999"/>
    <n v="5.22"/>
    <n v="8.6999999999999993"/>
    <n v="64.8"/>
    <n v="73.5"/>
    <n v="8.7799999999999994"/>
  </r>
  <r>
    <x v="0"/>
    <x v="7"/>
    <n v="1054.8499999999999"/>
    <n v="5.14"/>
    <n v="8.8000000000000007"/>
    <n v="74.599999999999994"/>
    <n v="83.4"/>
    <n v="8.7639999999999993"/>
  </r>
  <r>
    <x v="0"/>
    <x v="8"/>
    <n v="1048.2049999999999"/>
    <n v="5.32"/>
    <n v="8.6999999999999993"/>
    <n v="84.4"/>
    <n v="93.1"/>
    <n v="8.7560000000000002"/>
  </r>
  <r>
    <x v="0"/>
    <x v="9"/>
    <n v="1044.29"/>
    <n v="5.9749999999999996"/>
    <n v="8.6999999999999993"/>
    <n v="94.2"/>
    <n v="102.9"/>
    <n v="8.7460000000000004"/>
  </r>
  <r>
    <x v="1"/>
    <x v="0"/>
    <n v="748.17499999999995"/>
    <n v="4.9649999999999999"/>
    <n v="5.4"/>
    <n v="104.1"/>
    <n v="109.5"/>
    <n v="5.7629999999999999"/>
  </r>
  <r>
    <x v="1"/>
    <x v="1"/>
    <n v="711.37"/>
    <n v="5.335"/>
    <n v="5"/>
    <n v="110.7"/>
    <n v="115.7"/>
    <n v="5.0579999999999998"/>
  </r>
  <r>
    <x v="1"/>
    <x v="2"/>
    <n v="677.495"/>
    <n v="5.0999999999999996"/>
    <n v="4.7"/>
    <n v="116.8"/>
    <n v="121.5"/>
    <n v="4.8220000000000001"/>
  </r>
  <r>
    <x v="1"/>
    <x v="3"/>
    <n v="682.85500000000002"/>
    <n v="4.2750000000000004"/>
    <n v="4.7"/>
    <n v="122.6"/>
    <n v="127.3"/>
    <n v="4.7039999999999997"/>
  </r>
  <r>
    <x v="1"/>
    <x v="4"/>
    <n v="674.18499999999995"/>
    <n v="4.4850000000000003"/>
    <n v="4.5999999999999996"/>
    <n v="128.30000000000001"/>
    <n v="132.9"/>
    <n v="4.6319999999999997"/>
  </r>
  <r>
    <x v="1"/>
    <x v="5"/>
    <n v="671.78"/>
    <n v="4.3949999999999996"/>
    <n v="4.5999999999999996"/>
    <n v="133.9"/>
    <n v="138.5"/>
    <n v="4.5940000000000003"/>
  </r>
  <r>
    <x v="1"/>
    <x v="6"/>
    <n v="673.27499999999998"/>
    <n v="4.7549999999999999"/>
    <n v="4.5999999999999996"/>
    <n v="139.5"/>
    <n v="144.1"/>
    <n v="4.5640000000000001"/>
  </r>
  <r>
    <x v="1"/>
    <x v="7"/>
    <n v="674.68"/>
    <n v="4.2750000000000004"/>
    <n v="4.5999999999999996"/>
    <n v="145.1"/>
    <n v="149.69999999999999"/>
    <n v="4.54"/>
  </r>
  <r>
    <x v="1"/>
    <x v="8"/>
    <n v="675.51"/>
    <n v="4.5250000000000004"/>
    <n v="4.5999999999999996"/>
    <n v="150.6"/>
    <n v="155.19999999999999"/>
    <n v="4.5279999999999996"/>
  </r>
  <r>
    <x v="1"/>
    <x v="9"/>
    <n v="660.77499999999998"/>
    <n v="5.73"/>
    <n v="4.5"/>
    <n v="156.19999999999999"/>
    <n v="160.69999999999999"/>
    <n v="4.5170000000000003"/>
  </r>
  <r>
    <x v="2"/>
    <x v="0"/>
    <n v="656.1"/>
    <n v="5.37"/>
    <n v="4.3"/>
    <n v="161.9"/>
    <n v="166.2"/>
    <n v="4.6500000000000004"/>
  </r>
  <r>
    <x v="2"/>
    <x v="1"/>
    <n v="592.29999999999995"/>
    <n v="4.9450000000000003"/>
    <n v="3.6"/>
    <n v="167.5"/>
    <n v="171.1"/>
    <n v="3.7930000000000001"/>
  </r>
  <r>
    <x v="2"/>
    <x v="2"/>
    <n v="581.84500000000003"/>
    <n v="4.95"/>
    <n v="3.5"/>
    <n v="172.2"/>
    <n v="175.7"/>
    <n v="3.4990000000000001"/>
  </r>
  <r>
    <x v="2"/>
    <x v="3"/>
    <n v="565.29"/>
    <n v="5.38"/>
    <n v="3.3"/>
    <n v="176.7"/>
    <n v="180"/>
    <n v="3.355"/>
  </r>
  <r>
    <x v="2"/>
    <x v="4"/>
    <n v="543.79499999999996"/>
    <n v="4.74"/>
    <n v="3.2"/>
    <n v="181.1"/>
    <n v="184.3"/>
    <n v="3.2709999999999999"/>
  </r>
  <r>
    <x v="2"/>
    <x v="5"/>
    <n v="553.56500000000005"/>
    <n v="4.9450000000000003"/>
    <n v="3.2"/>
    <n v="185.3"/>
    <n v="188.5"/>
    <n v="3.222"/>
  </r>
  <r>
    <x v="2"/>
    <x v="6"/>
    <n v="554.39499999999998"/>
    <n v="4.57"/>
    <n v="3.2"/>
    <n v="189.6"/>
    <n v="192.8"/>
    <n v="3.1850000000000001"/>
  </r>
  <r>
    <x v="2"/>
    <x v="7"/>
    <n v="542.51499999999999"/>
    <n v="4.82"/>
    <n v="3.1"/>
    <n v="193.8"/>
    <n v="196.9"/>
    <n v="3.161"/>
  </r>
  <r>
    <x v="2"/>
    <x v="8"/>
    <n v="534.48500000000001"/>
    <n v="4.9000000000000004"/>
    <n v="3.1"/>
    <n v="198"/>
    <n v="201.1"/>
    <n v="3.1419999999999999"/>
  </r>
  <r>
    <x v="2"/>
    <x v="9"/>
    <n v="550.61500000000001"/>
    <n v="6.375"/>
    <n v="3.1"/>
    <n v="202.1"/>
    <n v="205.2"/>
    <n v="3.13"/>
  </r>
  <r>
    <x v="3"/>
    <x v="0"/>
    <n v="617.88499999999999"/>
    <n v="4.7549999999999999"/>
    <n v="3.9"/>
    <n v="206.4"/>
    <n v="210.3"/>
    <n v="4.2080000000000002"/>
  </r>
  <r>
    <x v="3"/>
    <x v="1"/>
    <n v="545.755"/>
    <n v="4.8550000000000004"/>
    <n v="3"/>
    <n v="211.6"/>
    <n v="214.6"/>
    <n v="3.21"/>
  </r>
  <r>
    <x v="3"/>
    <x v="2"/>
    <n v="530.98500000000001"/>
    <n v="5.04"/>
    <n v="2.8"/>
    <n v="215.7"/>
    <n v="218.5"/>
    <n v="2.8740000000000001"/>
  </r>
  <r>
    <x v="3"/>
    <x v="3"/>
    <n v="518.30499999999995"/>
    <n v="4.8"/>
    <n v="2.6"/>
    <n v="219.6"/>
    <n v="222.2"/>
    <n v="2.7069999999999999"/>
  </r>
  <r>
    <x v="3"/>
    <x v="4"/>
    <n v="505.64"/>
    <n v="4.93"/>
    <n v="2.6"/>
    <n v="223.3"/>
    <n v="225.9"/>
    <n v="2.613"/>
  </r>
  <r>
    <x v="3"/>
    <x v="5"/>
    <n v="498.86"/>
    <n v="4.58"/>
    <n v="2.5"/>
    <n v="226.9"/>
    <n v="229.4"/>
    <n v="2.5539999999999998"/>
  </r>
  <r>
    <x v="3"/>
    <x v="6"/>
    <n v="502.38499999999999"/>
    <n v="4.41"/>
    <n v="2.5"/>
    <n v="230.4"/>
    <n v="232.9"/>
    <n v="2.5099999999999998"/>
  </r>
  <r>
    <x v="3"/>
    <x v="7"/>
    <n v="520.63"/>
    <n v="5.3550000000000004"/>
    <n v="2.5"/>
    <n v="233.9"/>
    <n v="236.4"/>
    <n v="2.4860000000000002"/>
  </r>
  <r>
    <x v="3"/>
    <x v="8"/>
    <n v="510.75"/>
    <n v="4.5949999999999998"/>
    <n v="2.4"/>
    <n v="237.5"/>
    <n v="239.9"/>
    <n v="2.4620000000000002"/>
  </r>
  <r>
    <x v="3"/>
    <x v="9"/>
    <n v="498.86"/>
    <n v="5.6"/>
    <n v="2.5"/>
    <n v="240.9"/>
    <n v="243.4"/>
    <n v="2.4460000000000002"/>
  </r>
  <r>
    <x v="4"/>
    <x v="0"/>
    <n v="606.99"/>
    <n v="4.7649999999999997"/>
    <n v="3.7"/>
    <n v="244.6"/>
    <n v="248.3"/>
    <n v="3.9780000000000002"/>
  </r>
  <r>
    <x v="4"/>
    <x v="1"/>
    <n v="531.28"/>
    <n v="4.585"/>
    <n v="2.7"/>
    <n v="249.5"/>
    <n v="252.2"/>
    <n v="2.8919999999999999"/>
  </r>
  <r>
    <x v="4"/>
    <x v="2"/>
    <n v="522.35"/>
    <n v="4.8250000000000002"/>
    <n v="2.5"/>
    <n v="253.3"/>
    <n v="255.8"/>
    <n v="2.5209999999999999"/>
  </r>
  <r>
    <x v="4"/>
    <x v="3"/>
    <n v="510.98"/>
    <n v="4.415"/>
    <n v="2.4"/>
    <n v="256.8"/>
    <n v="259.2"/>
    <n v="2.3410000000000002"/>
  </r>
  <r>
    <x v="4"/>
    <x v="4"/>
    <n v="490.22"/>
    <n v="4.97"/>
    <n v="2.2000000000000002"/>
    <n v="260.2"/>
    <n v="262.39999999999998"/>
    <n v="2.2349999999999999"/>
  </r>
  <r>
    <x v="4"/>
    <x v="5"/>
    <n v="479.89"/>
    <n v="4.8449999999999998"/>
    <n v="2.1"/>
    <n v="263.5"/>
    <n v="265.60000000000002"/>
    <n v="2.1669999999999998"/>
  </r>
  <r>
    <x v="4"/>
    <x v="6"/>
    <n v="483.35500000000002"/>
    <n v="4.6849999999999996"/>
    <n v="2.1"/>
    <n v="266.60000000000002"/>
    <n v="268.7"/>
    <n v="2.121"/>
  </r>
  <r>
    <x v="4"/>
    <x v="7"/>
    <n v="485.505"/>
    <n v="4.76"/>
    <n v="2.1"/>
    <n v="269.7"/>
    <n v="271.8"/>
    <n v="2.0880000000000001"/>
  </r>
  <r>
    <x v="4"/>
    <x v="8"/>
    <n v="470.69"/>
    <n v="5.2149999999999999"/>
    <n v="2"/>
    <n v="272.8"/>
    <n v="274.8"/>
    <n v="2.0649999999999999"/>
  </r>
  <r>
    <x v="4"/>
    <x v="9"/>
    <n v="477.11500000000001"/>
    <n v="5.61"/>
    <n v="2"/>
    <n v="275.89999999999998"/>
    <n v="277.89999999999998"/>
    <n v="2.0430000000000001"/>
  </r>
  <r>
    <x v="5"/>
    <x v="0"/>
    <n v="582.88499999999999"/>
    <n v="5.14"/>
    <n v="3.5"/>
    <n v="279.10000000000002"/>
    <n v="282.60000000000002"/>
    <n v="3.8010000000000002"/>
  </r>
  <r>
    <x v="5"/>
    <x v="1"/>
    <n v="520.67499999999995"/>
    <n v="4.4400000000000004"/>
    <n v="2.5"/>
    <n v="283.89999999999998"/>
    <n v="286.39999999999998"/>
    <n v="2.718"/>
  </r>
  <r>
    <x v="5"/>
    <x v="2"/>
    <n v="506"/>
    <n v="4.4349999999999996"/>
    <n v="2.2999999999999998"/>
    <n v="287.5"/>
    <n v="289.8"/>
    <n v="2.3109999999999999"/>
  </r>
  <r>
    <x v="5"/>
    <x v="3"/>
    <n v="491.685"/>
    <n v="4.5199999999999996"/>
    <n v="2.1"/>
    <n v="290.8"/>
    <n v="292.89999999999998"/>
    <n v="2.1080000000000001"/>
  </r>
  <r>
    <x v="5"/>
    <x v="4"/>
    <n v="462.27499999999998"/>
    <n v="5.5149999999999997"/>
    <n v="2"/>
    <n v="293.89999999999998"/>
    <n v="295.89999999999998"/>
    <n v="1.99"/>
  </r>
  <r>
    <x v="5"/>
    <x v="5"/>
    <n v="470.48500000000001"/>
    <n v="5.18"/>
    <n v="1.8"/>
    <n v="297"/>
    <n v="298.8"/>
    <n v="1.9159999999999999"/>
  </r>
  <r>
    <x v="5"/>
    <x v="6"/>
    <n v="466.14499999999998"/>
    <n v="5.17"/>
    <n v="1.7"/>
    <n v="299.89999999999998"/>
    <n v="301.60000000000002"/>
    <n v="1.8660000000000001"/>
  </r>
  <r>
    <x v="5"/>
    <x v="7"/>
    <n v="455.63499999999999"/>
    <n v="5.2450000000000001"/>
    <n v="1.8"/>
    <n v="302.7"/>
    <n v="304.5"/>
    <n v="1.8320000000000001"/>
  </r>
  <r>
    <x v="5"/>
    <x v="8"/>
    <n v="429.71"/>
    <n v="5.73"/>
    <n v="1.7"/>
    <n v="305.60000000000002"/>
    <n v="307.3"/>
    <n v="1.806"/>
  </r>
  <r>
    <x v="5"/>
    <x v="9"/>
    <n v="433.5"/>
    <n v="6.9050000000000002"/>
    <n v="1.7"/>
    <n v="308.39999999999998"/>
    <n v="310.10000000000002"/>
    <n v="1.786"/>
  </r>
  <r>
    <x v="6"/>
    <x v="0"/>
    <n v="555.95000000000005"/>
    <n v="4.37"/>
    <n v="3.3"/>
    <n v="311.39999999999998"/>
    <n v="314.7"/>
    <n v="3.661"/>
  </r>
  <r>
    <x v="6"/>
    <x v="1"/>
    <n v="507.15"/>
    <n v="4.68"/>
    <n v="2.5"/>
    <n v="315.89999999999998"/>
    <n v="318.39999999999998"/>
    <n v="2.61"/>
  </r>
  <r>
    <x v="6"/>
    <x v="2"/>
    <n v="483.11"/>
    <n v="5.1950000000000003"/>
    <n v="2.1"/>
    <n v="319.5"/>
    <n v="321.60000000000002"/>
    <n v="2.169"/>
  </r>
  <r>
    <x v="6"/>
    <x v="3"/>
    <n v="451.245"/>
    <n v="4.9649999999999999"/>
    <n v="1.9"/>
    <n v="322.7"/>
    <n v="324.60000000000002"/>
    <n v="1.9470000000000001"/>
  </r>
  <r>
    <x v="6"/>
    <x v="4"/>
    <n v="440.06"/>
    <n v="5.3049999999999997"/>
    <n v="1.7"/>
    <n v="325.7"/>
    <n v="327.39999999999998"/>
    <n v="1.825"/>
  </r>
  <r>
    <x v="6"/>
    <x v="5"/>
    <n v="428.88"/>
    <n v="5.5149999999999997"/>
    <n v="1.6"/>
    <n v="328.5"/>
    <n v="330.1"/>
    <n v="1.744"/>
  </r>
  <r>
    <x v="6"/>
    <x v="6"/>
    <n v="399.125"/>
    <n v="5.58"/>
    <n v="1.6"/>
    <n v="331.2"/>
    <n v="332.8"/>
    <n v="1.6890000000000001"/>
  </r>
  <r>
    <x v="6"/>
    <x v="7"/>
    <n v="457.11500000000001"/>
    <n v="5.15"/>
    <n v="1.6"/>
    <n v="333.9"/>
    <n v="335.5"/>
    <n v="1.6519999999999999"/>
  </r>
  <r>
    <x v="6"/>
    <x v="8"/>
    <n v="452.69499999999999"/>
    <n v="6.3650000000000002"/>
    <n v="1.5"/>
    <n v="336.6"/>
    <n v="338.1"/>
    <n v="1.625"/>
  </r>
  <r>
    <x v="6"/>
    <x v="9"/>
    <n v="414.2"/>
    <n v="8.0449999999999999"/>
    <n v="1.5"/>
    <n v="339.2"/>
    <n v="340.7"/>
    <n v="1.599"/>
  </r>
  <r>
    <x v="7"/>
    <x v="0"/>
    <n v="537.90499999999997"/>
    <n v="5.1150000000000002"/>
    <n v="3.2"/>
    <n v="342"/>
    <n v="345.2"/>
    <n v="3.544"/>
  </r>
  <r>
    <x v="7"/>
    <x v="1"/>
    <n v="492.43"/>
    <n v="5.3449999999999998"/>
    <n v="2.4"/>
    <n v="346.5"/>
    <n v="348.9"/>
    <n v="2.528"/>
  </r>
  <r>
    <x v="7"/>
    <x v="2"/>
    <n v="462.71"/>
    <n v="4.8"/>
    <n v="1.9"/>
    <n v="350"/>
    <n v="351.9"/>
    <n v="2.081"/>
  </r>
  <r>
    <x v="7"/>
    <x v="3"/>
    <n v="436.80500000000001"/>
    <n v="5.1749999999999998"/>
    <n v="1.7"/>
    <n v="353"/>
    <n v="354.7"/>
    <n v="1.841"/>
  </r>
  <r>
    <x v="7"/>
    <x v="4"/>
    <n v="442.94499999999999"/>
    <n v="5.1950000000000003"/>
    <n v="1.6"/>
    <n v="355.9"/>
    <n v="357.5"/>
    <n v="1.7090000000000001"/>
  </r>
  <r>
    <x v="7"/>
    <x v="5"/>
    <n v="444.89"/>
    <n v="5.25"/>
    <n v="1.5"/>
    <n v="358.6"/>
    <n v="360.1"/>
    <n v="1.621"/>
  </r>
  <r>
    <x v="7"/>
    <x v="6"/>
    <n v="416.565"/>
    <n v="5.2149999999999999"/>
    <n v="1.5"/>
    <n v="361.2"/>
    <n v="362.7"/>
    <n v="1.5640000000000001"/>
  </r>
  <r>
    <x v="7"/>
    <x v="7"/>
    <n v="426.43"/>
    <n v="6.49"/>
    <n v="1.4"/>
    <n v="363.8"/>
    <n v="365.2"/>
    <n v="1.5209999999999999"/>
  </r>
  <r>
    <x v="7"/>
    <x v="8"/>
    <n v="445.52499999999998"/>
    <n v="6.8449999999999998"/>
    <n v="1.4"/>
    <n v="366.3"/>
    <n v="367.7"/>
    <n v="1.4930000000000001"/>
  </r>
  <r>
    <x v="7"/>
    <x v="9"/>
    <n v="420.42"/>
    <n v="8.3000000000000007"/>
    <n v="1.4"/>
    <n v="368.8"/>
    <n v="370.2"/>
    <n v="1.466"/>
  </r>
  <r>
    <x v="8"/>
    <x v="0"/>
    <n v="533.94500000000005"/>
    <n v="4.6950000000000003"/>
    <n v="3.2"/>
    <n v="371.4"/>
    <n v="374.6"/>
    <n v="3.4409999999999998"/>
  </r>
  <r>
    <x v="8"/>
    <x v="1"/>
    <n v="483.03500000000003"/>
    <n v="5.14"/>
    <n v="2.4"/>
    <n v="375.8"/>
    <n v="378.2"/>
    <n v="2.4550000000000001"/>
  </r>
  <r>
    <x v="8"/>
    <x v="2"/>
    <n v="430.19499999999999"/>
    <n v="4.7450000000000001"/>
    <n v="1.8"/>
    <n v="379.3"/>
    <n v="381.1"/>
    <n v="2.0129999999999999"/>
  </r>
  <r>
    <x v="8"/>
    <x v="3"/>
    <n v="443.54"/>
    <n v="5.04"/>
    <n v="1.7"/>
    <n v="382.2"/>
    <n v="383.9"/>
    <n v="1.766"/>
  </r>
  <r>
    <x v="8"/>
    <x v="4"/>
    <n v="436.08499999999998"/>
    <n v="5.1950000000000003"/>
    <n v="1.6"/>
    <n v="385"/>
    <n v="386.6"/>
    <n v="1.625"/>
  </r>
  <r>
    <x v="8"/>
    <x v="5"/>
    <n v="417.78500000000003"/>
    <n v="6.19"/>
    <n v="1.3"/>
    <n v="387.7"/>
    <n v="389"/>
    <n v="1.5329999999999999"/>
  </r>
  <r>
    <x v="8"/>
    <x v="6"/>
    <n v="428.11500000000001"/>
    <n v="7.6449999999999996"/>
    <n v="1.3"/>
    <n v="390.2"/>
    <n v="391.5"/>
    <n v="1.4690000000000001"/>
  </r>
  <r>
    <x v="8"/>
    <x v="7"/>
    <n v="422.35500000000002"/>
    <n v="6.6"/>
    <n v="1.3"/>
    <n v="392.7"/>
    <n v="394"/>
    <n v="1.425"/>
  </r>
  <r>
    <x v="8"/>
    <x v="8"/>
    <n v="426.64"/>
    <n v="8.2850000000000001"/>
    <n v="1.3"/>
    <n v="395.1"/>
    <n v="396.4"/>
    <n v="1.3919999999999999"/>
  </r>
  <r>
    <x v="8"/>
    <x v="9"/>
    <n v="427.005"/>
    <n v="10.395"/>
    <n v="1.3"/>
    <n v="397.5"/>
    <n v="398.8"/>
    <n v="1.367"/>
  </r>
  <r>
    <x v="9"/>
    <x v="0"/>
    <n v="531.12"/>
    <n v="4.9050000000000002"/>
    <n v="3.2"/>
    <n v="400"/>
    <n v="403.2"/>
    <n v="3.4129999999999998"/>
  </r>
  <r>
    <x v="9"/>
    <x v="1"/>
    <n v="467.58"/>
    <n v="4.5"/>
    <n v="2.2000000000000002"/>
    <n v="404.4"/>
    <n v="406.6"/>
    <n v="2.39"/>
  </r>
  <r>
    <x v="9"/>
    <x v="2"/>
    <n v="458.21"/>
    <n v="5.0750000000000002"/>
    <n v="1.9"/>
    <n v="407.7"/>
    <n v="409.6"/>
    <n v="1.966"/>
  </r>
  <r>
    <x v="9"/>
    <x v="3"/>
    <n v="448.67500000000001"/>
    <n v="5.17"/>
    <n v="1.6"/>
    <n v="410.7"/>
    <n v="412.3"/>
    <n v="1.7150000000000001"/>
  </r>
  <r>
    <x v="9"/>
    <x v="4"/>
    <n v="424.05500000000001"/>
    <n v="5.22"/>
    <n v="1.5"/>
    <n v="413.4"/>
    <n v="414.9"/>
    <n v="1.5649999999999999"/>
  </r>
  <r>
    <x v="9"/>
    <x v="5"/>
    <n v="403.49"/>
    <n v="6.2350000000000003"/>
    <n v="1.3"/>
    <n v="416"/>
    <n v="417.3"/>
    <n v="1.4670000000000001"/>
  </r>
  <r>
    <x v="9"/>
    <x v="6"/>
    <n v="402.58499999999998"/>
    <n v="5.99"/>
    <n v="1.3"/>
    <n v="418.5"/>
    <n v="419.8"/>
    <n v="1.395"/>
  </r>
  <r>
    <x v="9"/>
    <x v="7"/>
    <n v="400.24"/>
    <n v="10.49"/>
    <n v="1.2"/>
    <n v="420.9"/>
    <n v="422.1"/>
    <n v="1.353"/>
  </r>
  <r>
    <x v="9"/>
    <x v="8"/>
    <n v="420.61"/>
    <n v="11.14"/>
    <n v="1.2"/>
    <n v="423.3"/>
    <n v="424.5"/>
    <n v="1.3169999999999999"/>
  </r>
  <r>
    <x v="9"/>
    <x v="9"/>
    <n v="411.64499999999998"/>
    <n v="191.035"/>
    <n v="1.2"/>
    <n v="425.6"/>
    <n v="426.8"/>
    <n v="1.288"/>
  </r>
  <r>
    <x v="10"/>
    <x v="10"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x v="0"/>
    <x v="0"/>
    <n v="1084.74"/>
    <n v="4.5"/>
    <n v="9.3000000000000007"/>
    <n v="4.9000000000000004"/>
    <n v="14.2"/>
    <n v="9.6340000000000003"/>
  </r>
  <r>
    <x v="0"/>
    <x v="1"/>
    <n v="1049.0899999999999"/>
    <n v="4.9450000000000003"/>
    <n v="8.9"/>
    <n v="15.5"/>
    <n v="24.4"/>
    <n v="9.1370000000000005"/>
  </r>
  <r>
    <x v="0"/>
    <x v="2"/>
    <n v="1049.9349999999999"/>
    <n v="5.33"/>
    <n v="8.9"/>
    <n v="25.6"/>
    <n v="34.5"/>
    <n v="8.968"/>
  </r>
  <r>
    <x v="0"/>
    <x v="3"/>
    <n v="1039.8"/>
    <n v="4.5350000000000001"/>
    <n v="8.8000000000000007"/>
    <n v="35.6"/>
    <n v="44.4"/>
    <n v="8.8840000000000003"/>
  </r>
  <r>
    <x v="0"/>
    <x v="4"/>
    <n v="1053.68"/>
    <n v="4.5449999999999999"/>
    <n v="8.9"/>
    <n v="45.4"/>
    <n v="54.3"/>
    <n v="8.8379999999999992"/>
  </r>
  <r>
    <x v="0"/>
    <x v="5"/>
    <n v="1039.4949999999999"/>
    <n v="4.7750000000000004"/>
    <n v="8.8000000000000007"/>
    <n v="55.3"/>
    <n v="64.099999999999994"/>
    <n v="8.8019999999999996"/>
  </r>
  <r>
    <x v="0"/>
    <x v="6"/>
    <n v="1043.0250000000001"/>
    <n v="5.0449999999999999"/>
    <n v="8.8000000000000007"/>
    <n v="65.099999999999994"/>
    <n v="73.900000000000006"/>
    <n v="8.7829999999999995"/>
  </r>
  <r>
    <x v="0"/>
    <x v="7"/>
    <n v="1039.3399999999999"/>
    <n v="4.83"/>
    <n v="8.8000000000000007"/>
    <n v="74.900000000000006"/>
    <n v="83.7"/>
    <n v="8.7750000000000004"/>
  </r>
  <r>
    <x v="0"/>
    <x v="8"/>
    <n v="1043.325"/>
    <n v="4.9000000000000004"/>
    <n v="8.8000000000000007"/>
    <n v="84.7"/>
    <n v="93.5"/>
    <n v="8.7569999999999997"/>
  </r>
  <r>
    <x v="0"/>
    <x v="9"/>
    <n v="1030.615"/>
    <n v="5.43"/>
    <n v="8.6999999999999993"/>
    <n v="94.5"/>
    <n v="103.2"/>
    <n v="8.7469999999999999"/>
  </r>
  <r>
    <x v="1"/>
    <x v="0"/>
    <n v="740.68499999999995"/>
    <n v="4.54"/>
    <n v="5.5"/>
    <n v="104.3"/>
    <n v="109.8"/>
    <n v="5.766"/>
  </r>
  <r>
    <x v="1"/>
    <x v="1"/>
    <n v="691.43"/>
    <n v="4.9950000000000001"/>
    <n v="5"/>
    <n v="111"/>
    <n v="116"/>
    <n v="5.0599999999999996"/>
  </r>
  <r>
    <x v="1"/>
    <x v="2"/>
    <n v="661.59"/>
    <n v="5.22"/>
    <n v="4.7"/>
    <n v="117.1"/>
    <n v="121.8"/>
    <n v="4.8220000000000001"/>
  </r>
  <r>
    <x v="1"/>
    <x v="3"/>
    <n v="649.56500000000005"/>
    <n v="5.1100000000000003"/>
    <n v="4.5999999999999996"/>
    <n v="122.9"/>
    <n v="127.5"/>
    <n v="4.7039999999999997"/>
  </r>
  <r>
    <x v="1"/>
    <x v="4"/>
    <n v="653.38499999999999"/>
    <n v="4.38"/>
    <n v="4.5999999999999996"/>
    <n v="128.6"/>
    <n v="133.19999999999999"/>
    <n v="4.6349999999999998"/>
  </r>
  <r>
    <x v="1"/>
    <x v="5"/>
    <n v="655.44500000000005"/>
    <n v="4.55"/>
    <n v="4.5999999999999996"/>
    <n v="134.19999999999999"/>
    <n v="138.80000000000001"/>
    <n v="4.5919999999999996"/>
  </r>
  <r>
    <x v="1"/>
    <x v="6"/>
    <n v="654.28499999999997"/>
    <n v="4.59"/>
    <n v="4.5999999999999996"/>
    <n v="139.80000000000001"/>
    <n v="144.4"/>
    <n v="4.5620000000000003"/>
  </r>
  <r>
    <x v="1"/>
    <x v="7"/>
    <n v="642.04"/>
    <n v="4.21"/>
    <n v="4.5"/>
    <n v="145.4"/>
    <n v="149.9"/>
    <n v="4.54"/>
  </r>
  <r>
    <x v="1"/>
    <x v="8"/>
    <n v="649.44000000000005"/>
    <n v="4.4649999999999999"/>
    <n v="4.5999999999999996"/>
    <n v="150.9"/>
    <n v="155.5"/>
    <n v="4.5289999999999999"/>
  </r>
  <r>
    <x v="1"/>
    <x v="9"/>
    <n v="640.45000000000005"/>
    <n v="5.9749999999999996"/>
    <n v="4.5"/>
    <n v="156.5"/>
    <n v="161"/>
    <n v="4.516"/>
  </r>
  <r>
    <x v="2"/>
    <x v="0"/>
    <n v="636.17999999999995"/>
    <n v="5.08"/>
    <n v="4.3"/>
    <n v="162.19999999999999"/>
    <n v="166.5"/>
    <n v="4.6500000000000004"/>
  </r>
  <r>
    <x v="2"/>
    <x v="1"/>
    <n v="572.48"/>
    <n v="5.0549999999999997"/>
    <n v="3.6"/>
    <n v="167.8"/>
    <n v="171.4"/>
    <n v="3.7850000000000001"/>
  </r>
  <r>
    <x v="2"/>
    <x v="2"/>
    <n v="547.39499999999998"/>
    <n v="5.16"/>
    <n v="3.4"/>
    <n v="172.5"/>
    <n v="175.9"/>
    <n v="3.4980000000000002"/>
  </r>
  <r>
    <x v="2"/>
    <x v="3"/>
    <n v="534.41"/>
    <n v="5.1950000000000003"/>
    <n v="3.3"/>
    <n v="177"/>
    <n v="180.3"/>
    <n v="3.3559999999999999"/>
  </r>
  <r>
    <x v="2"/>
    <x v="4"/>
    <n v="529.82000000000005"/>
    <n v="4.74"/>
    <n v="3.2"/>
    <n v="181.4"/>
    <n v="184.6"/>
    <n v="3.2719999999999998"/>
  </r>
  <r>
    <x v="2"/>
    <x v="5"/>
    <n v="552.89499999999998"/>
    <n v="4.6349999999999998"/>
    <n v="3.3"/>
    <n v="185.6"/>
    <n v="188.9"/>
    <n v="3.2229999999999999"/>
  </r>
  <r>
    <x v="2"/>
    <x v="6"/>
    <n v="515.23500000000001"/>
    <n v="4.4850000000000003"/>
    <n v="3.1"/>
    <n v="189.9"/>
    <n v="193"/>
    <n v="3.1850000000000001"/>
  </r>
  <r>
    <x v="2"/>
    <x v="7"/>
    <n v="554.24"/>
    <n v="3.02"/>
    <n v="3.3"/>
    <n v="194"/>
    <n v="197.3"/>
    <n v="3.16"/>
  </r>
  <r>
    <x v="2"/>
    <x v="8"/>
    <n v="509.48"/>
    <n v="3.0049999999999999"/>
    <n v="3"/>
    <n v="198.3"/>
    <n v="201.3"/>
    <n v="3.141"/>
  </r>
  <r>
    <x v="2"/>
    <x v="9"/>
    <n v="529.89"/>
    <n v="5.0549999999999997"/>
    <n v="3.1"/>
    <n v="202.4"/>
    <n v="205.5"/>
    <n v="3.13"/>
  </r>
  <r>
    <x v="3"/>
    <x v="0"/>
    <n v="606.44000000000005"/>
    <n v="4.5250000000000004"/>
    <n v="3.9"/>
    <n v="206.7"/>
    <n v="210.6"/>
    <n v="4.2050000000000001"/>
  </r>
  <r>
    <x v="3"/>
    <x v="1"/>
    <n v="527.19500000000005"/>
    <n v="4.0999999999999996"/>
    <n v="3"/>
    <n v="211.8"/>
    <n v="214.8"/>
    <n v="3.2069999999999999"/>
  </r>
  <r>
    <x v="3"/>
    <x v="2"/>
    <n v="505.6"/>
    <n v="4.8"/>
    <n v="2.8"/>
    <n v="216"/>
    <n v="218.8"/>
    <n v="2.8769999999999998"/>
  </r>
  <r>
    <x v="3"/>
    <x v="3"/>
    <n v="499.185"/>
    <n v="4.7149999999999999"/>
    <n v="2.6"/>
    <n v="219.9"/>
    <n v="222.5"/>
    <n v="2.7090000000000001"/>
  </r>
  <r>
    <x v="3"/>
    <x v="4"/>
    <n v="488.57499999999999"/>
    <n v="4.0449999999999999"/>
    <n v="2.6"/>
    <n v="223.6"/>
    <n v="226.2"/>
    <n v="2.6120000000000001"/>
  </r>
  <r>
    <x v="3"/>
    <x v="5"/>
    <n v="479.08499999999998"/>
    <n v="4.0650000000000004"/>
    <n v="2.5"/>
    <n v="227.2"/>
    <n v="229.7"/>
    <n v="2.552"/>
  </r>
  <r>
    <x v="3"/>
    <x v="6"/>
    <n v="491.79500000000002"/>
    <n v="4.59"/>
    <n v="2.5"/>
    <n v="230.7"/>
    <n v="233.2"/>
    <n v="2.5110000000000001"/>
  </r>
  <r>
    <x v="3"/>
    <x v="7"/>
    <n v="504.01"/>
    <n v="4.2"/>
    <n v="2.5"/>
    <n v="234.3"/>
    <n v="236.8"/>
    <n v="2.484"/>
  </r>
  <r>
    <x v="3"/>
    <x v="8"/>
    <n v="476.40499999999997"/>
    <n v="4.6050000000000004"/>
    <n v="2.4"/>
    <n v="237.8"/>
    <n v="240.2"/>
    <n v="2.4670000000000001"/>
  </r>
  <r>
    <x v="3"/>
    <x v="9"/>
    <n v="475.92"/>
    <n v="5.67"/>
    <n v="2.5"/>
    <n v="241.2"/>
    <n v="243.7"/>
    <n v="2.444"/>
  </r>
  <r>
    <x v="4"/>
    <x v="0"/>
    <n v="578.94000000000005"/>
    <n v="4.8"/>
    <n v="3.6"/>
    <n v="244.9"/>
    <n v="248.5"/>
    <n v="3.9769999999999999"/>
  </r>
  <r>
    <x v="4"/>
    <x v="1"/>
    <n v="524.46500000000003"/>
    <n v="4.7750000000000004"/>
    <n v="2.8"/>
    <n v="249.8"/>
    <n v="252.6"/>
    <n v="2.8919999999999999"/>
  </r>
  <r>
    <x v="4"/>
    <x v="2"/>
    <n v="492.815"/>
    <n v="4.9050000000000002"/>
    <n v="2.4"/>
    <n v="253.7"/>
    <n v="256.10000000000002"/>
    <n v="2.5219999999999998"/>
  </r>
  <r>
    <x v="4"/>
    <x v="3"/>
    <n v="482.86500000000001"/>
    <n v="4.6550000000000002"/>
    <n v="2.2999999999999998"/>
    <n v="257.2"/>
    <n v="259.5"/>
    <n v="2.3370000000000002"/>
  </r>
  <r>
    <x v="4"/>
    <x v="4"/>
    <n v="474.65"/>
    <n v="4.9000000000000004"/>
    <n v="2.2000000000000002"/>
    <n v="260.5"/>
    <n v="262.7"/>
    <n v="2.2370000000000001"/>
  </r>
  <r>
    <x v="4"/>
    <x v="5"/>
    <n v="469.065"/>
    <n v="4.1050000000000004"/>
    <n v="2.1"/>
    <n v="263.8"/>
    <n v="265.89999999999998"/>
    <n v="2.1659999999999999"/>
  </r>
  <r>
    <x v="4"/>
    <x v="6"/>
    <n v="467.14"/>
    <n v="4.6849999999999996"/>
    <n v="2.1"/>
    <n v="266.89999999999998"/>
    <n v="269"/>
    <n v="2.117"/>
  </r>
  <r>
    <x v="4"/>
    <x v="7"/>
    <n v="470.34"/>
    <n v="4.54"/>
    <n v="2.1"/>
    <n v="270"/>
    <n v="272.10000000000002"/>
    <n v="2.0870000000000002"/>
  </r>
  <r>
    <x v="4"/>
    <x v="8"/>
    <n v="470.56"/>
    <n v="4.96"/>
    <n v="2"/>
    <n v="273.10000000000002"/>
    <n v="275.10000000000002"/>
    <n v="2.0649999999999999"/>
  </r>
  <r>
    <x v="4"/>
    <x v="9"/>
    <n v="464.935"/>
    <n v="5.2350000000000003"/>
    <n v="2"/>
    <n v="276.2"/>
    <n v="278.2"/>
    <n v="2.0470000000000002"/>
  </r>
  <r>
    <x v="5"/>
    <x v="0"/>
    <n v="587.15"/>
    <n v="4.3049999999999997"/>
    <n v="3.6"/>
    <n v="279.39999999999998"/>
    <n v="283"/>
    <n v="3.8029999999999999"/>
  </r>
  <r>
    <x v="5"/>
    <x v="1"/>
    <n v="519.18499999999995"/>
    <n v="4.2149999999999999"/>
    <n v="2.6"/>
    <n v="284.10000000000002"/>
    <n v="286.7"/>
    <n v="2.718"/>
  </r>
  <r>
    <x v="5"/>
    <x v="2"/>
    <n v="501.59500000000003"/>
    <n v="5.1449999999999996"/>
    <n v="2.2999999999999998"/>
    <n v="287.8"/>
    <n v="290.10000000000002"/>
    <n v="2.31"/>
  </r>
  <r>
    <x v="5"/>
    <x v="3"/>
    <n v="480.95499999999998"/>
    <n v="5.03"/>
    <n v="2"/>
    <n v="291.2"/>
    <n v="293.2"/>
    <n v="2.105"/>
  </r>
  <r>
    <x v="5"/>
    <x v="4"/>
    <n v="473.65499999999997"/>
    <n v="4.0149999999999997"/>
    <n v="1.9"/>
    <n v="294.3"/>
    <n v="296.2"/>
    <n v="1.9890000000000001"/>
  </r>
  <r>
    <x v="5"/>
    <x v="5"/>
    <n v="458.27499999999998"/>
    <n v="4.9050000000000002"/>
    <n v="1.9"/>
    <n v="297.2"/>
    <n v="299.10000000000002"/>
    <n v="1.915"/>
  </r>
  <r>
    <x v="5"/>
    <x v="6"/>
    <n v="434.22500000000002"/>
    <n v="4.63"/>
    <n v="1.8"/>
    <n v="300.2"/>
    <n v="302"/>
    <n v="1.865"/>
  </r>
  <r>
    <x v="5"/>
    <x v="7"/>
    <n v="441.18"/>
    <n v="5.12"/>
    <n v="1.8"/>
    <n v="303"/>
    <n v="304.8"/>
    <n v="1.829"/>
  </r>
  <r>
    <x v="5"/>
    <x v="8"/>
    <n v="451.54"/>
    <n v="4.5250000000000004"/>
    <n v="1.8"/>
    <n v="305.89999999999998"/>
    <n v="307.7"/>
    <n v="1.8029999999999999"/>
  </r>
  <r>
    <x v="5"/>
    <x v="9"/>
    <n v="454.495"/>
    <n v="5.25"/>
    <n v="1.8"/>
    <n v="308.7"/>
    <n v="310.5"/>
    <n v="1.7829999999999999"/>
  </r>
  <r>
    <x v="6"/>
    <x v="0"/>
    <n v="560.80499999999995"/>
    <n v="4.72"/>
    <n v="3.4"/>
    <n v="311.60000000000002"/>
    <n v="315"/>
    <n v="3.6629999999999998"/>
  </r>
  <r>
    <x v="6"/>
    <x v="1"/>
    <n v="481.625"/>
    <n v="4.4249999999999998"/>
    <n v="2.4"/>
    <n v="316.3"/>
    <n v="318.7"/>
    <n v="2.61"/>
  </r>
  <r>
    <x v="6"/>
    <x v="2"/>
    <n v="471.60500000000002"/>
    <n v="4.5599999999999996"/>
    <n v="2.1"/>
    <n v="319.8"/>
    <n v="321.89999999999998"/>
    <n v="2.17"/>
  </r>
  <r>
    <x v="6"/>
    <x v="3"/>
    <n v="457.19"/>
    <n v="4.4800000000000004"/>
    <n v="1.8"/>
    <n v="323"/>
    <n v="324.8"/>
    <n v="1.954"/>
  </r>
  <r>
    <x v="6"/>
    <x v="4"/>
    <n v="467.065"/>
    <n v="4.6349999999999998"/>
    <n v="1.8"/>
    <n v="325.89999999999998"/>
    <n v="327.7"/>
    <n v="1.83"/>
  </r>
  <r>
    <x v="6"/>
    <x v="5"/>
    <n v="451.125"/>
    <n v="4.5449999999999999"/>
    <n v="1.6"/>
    <n v="328.8"/>
    <n v="330.4"/>
    <n v="1.748"/>
  </r>
  <r>
    <x v="6"/>
    <x v="6"/>
    <n v="472.01"/>
    <n v="5"/>
    <n v="1.7"/>
    <n v="331.5"/>
    <n v="333.2"/>
    <n v="1.6890000000000001"/>
  </r>
  <r>
    <x v="6"/>
    <x v="7"/>
    <n v="419.565"/>
    <n v="5.585"/>
    <n v="1.5"/>
    <n v="334.3"/>
    <n v="335.8"/>
    <n v="1.651"/>
  </r>
  <r>
    <x v="6"/>
    <x v="8"/>
    <n v="410.47500000000002"/>
    <n v="5.7249999999999996"/>
    <n v="1.5"/>
    <n v="336.9"/>
    <n v="338.4"/>
    <n v="1.623"/>
  </r>
  <r>
    <x v="6"/>
    <x v="9"/>
    <n v="463.2"/>
    <n v="5.8449999999999998"/>
    <n v="1.6"/>
    <n v="339.5"/>
    <n v="341.1"/>
    <n v="1.597"/>
  </r>
  <r>
    <x v="7"/>
    <x v="0"/>
    <n v="531.96"/>
    <n v="4.0049999999999999"/>
    <n v="3.2"/>
    <n v="342.3"/>
    <n v="345.5"/>
    <n v="3.5409999999999999"/>
  </r>
  <r>
    <x v="7"/>
    <x v="1"/>
    <n v="482.21499999999997"/>
    <n v="4.7050000000000001"/>
    <n v="2.4"/>
    <n v="346.7"/>
    <n v="349.1"/>
    <n v="2.528"/>
  </r>
  <r>
    <x v="7"/>
    <x v="2"/>
    <n v="482.5"/>
    <n v="5.29"/>
    <n v="2.1"/>
    <n v="350.2"/>
    <n v="352.3"/>
    <n v="2.0779999999999998"/>
  </r>
  <r>
    <x v="7"/>
    <x v="3"/>
    <n v="444.03"/>
    <n v="5.38"/>
    <n v="1.7"/>
    <n v="353.4"/>
    <n v="355.1"/>
    <n v="1.841"/>
  </r>
  <r>
    <x v="7"/>
    <x v="4"/>
    <n v="442.84"/>
    <n v="4.78"/>
    <n v="1.6"/>
    <n v="356.2"/>
    <n v="357.8"/>
    <n v="1.712"/>
  </r>
  <r>
    <x v="7"/>
    <x v="5"/>
    <n v="407.4"/>
    <n v="5.18"/>
    <n v="1.5"/>
    <n v="358.9"/>
    <n v="360.4"/>
    <n v="1.6259999999999999"/>
  </r>
  <r>
    <x v="7"/>
    <x v="6"/>
    <n v="439.89"/>
    <n v="5.14"/>
    <n v="1.5"/>
    <n v="361.5"/>
    <n v="363"/>
    <n v="1.5649999999999999"/>
  </r>
  <r>
    <x v="7"/>
    <x v="7"/>
    <n v="396.32"/>
    <n v="6.11"/>
    <n v="1.4"/>
    <n v="364.1"/>
    <n v="365.5"/>
    <n v="1.522"/>
  </r>
  <r>
    <x v="7"/>
    <x v="8"/>
    <n v="436.505"/>
    <n v="7.8650000000000002"/>
    <n v="1.4"/>
    <n v="366.6"/>
    <n v="368"/>
    <n v="1.4910000000000001"/>
  </r>
  <r>
    <x v="7"/>
    <x v="9"/>
    <n v="422.95499999999998"/>
    <n v="8.7100000000000009"/>
    <n v="1.4"/>
    <n v="369.1"/>
    <n v="370.5"/>
    <n v="1.4670000000000001"/>
  </r>
  <r>
    <x v="8"/>
    <x v="0"/>
    <n v="531.44500000000005"/>
    <n v="4.0999999999999996"/>
    <n v="3.2"/>
    <n v="371.7"/>
    <n v="374.9"/>
    <n v="3.4430000000000001"/>
  </r>
  <r>
    <x v="8"/>
    <x v="1"/>
    <n v="485.57"/>
    <n v="5.165"/>
    <n v="2.4"/>
    <n v="376.1"/>
    <n v="378.5"/>
    <n v="2.4540000000000002"/>
  </r>
  <r>
    <x v="8"/>
    <x v="2"/>
    <n v="432.3"/>
    <n v="4.4800000000000004"/>
    <n v="1.8"/>
    <n v="379.6"/>
    <n v="381.4"/>
    <n v="2.0129999999999999"/>
  </r>
  <r>
    <x v="8"/>
    <x v="3"/>
    <n v="427.315"/>
    <n v="4.6050000000000004"/>
    <n v="1.7"/>
    <n v="382.5"/>
    <n v="384.2"/>
    <n v="1.768"/>
  </r>
  <r>
    <x v="8"/>
    <x v="4"/>
    <n v="436.625"/>
    <n v="5.0999999999999996"/>
    <n v="1.6"/>
    <n v="385.3"/>
    <n v="386.9"/>
    <n v="1.629"/>
  </r>
  <r>
    <x v="8"/>
    <x v="5"/>
    <n v="397.89499999999998"/>
    <n v="5.05"/>
    <n v="1.4"/>
    <n v="388"/>
    <n v="389.4"/>
    <n v="1.5309999999999999"/>
  </r>
  <r>
    <x v="8"/>
    <x v="6"/>
    <n v="423.39"/>
    <n v="8"/>
    <n v="1.3"/>
    <n v="390.5"/>
    <n v="391.8"/>
    <n v="1.4710000000000001"/>
  </r>
  <r>
    <x v="8"/>
    <x v="7"/>
    <n v="426.88499999999999"/>
    <n v="8.3350000000000009"/>
    <n v="1.3"/>
    <n v="393"/>
    <n v="394.3"/>
    <n v="1.425"/>
  </r>
  <r>
    <x v="8"/>
    <x v="8"/>
    <n v="430.88499999999999"/>
    <n v="8.6999999999999993"/>
    <n v="1.3"/>
    <n v="395.4"/>
    <n v="396.7"/>
    <n v="1.395"/>
  </r>
  <r>
    <x v="8"/>
    <x v="9"/>
    <n v="415.755"/>
    <n v="11.005000000000001"/>
    <n v="1.3"/>
    <n v="397.8"/>
    <n v="399.1"/>
    <n v="1.369"/>
  </r>
  <r>
    <x v="9"/>
    <x v="0"/>
    <n v="526.71"/>
    <n v="4.58"/>
    <n v="3.2"/>
    <n v="400.3"/>
    <n v="403.5"/>
    <n v="3.41"/>
  </r>
  <r>
    <x v="9"/>
    <x v="1"/>
    <n v="467.75"/>
    <n v="4.1550000000000002"/>
    <n v="2.2000000000000002"/>
    <n v="404.7"/>
    <n v="406.9"/>
    <n v="2.3929999999999998"/>
  </r>
  <r>
    <x v="9"/>
    <x v="2"/>
    <n v="457.78"/>
    <n v="4.84"/>
    <n v="1.9"/>
    <n v="408"/>
    <n v="409.9"/>
    <n v="1.9650000000000001"/>
  </r>
  <r>
    <x v="9"/>
    <x v="3"/>
    <n v="447.48"/>
    <n v="4.84"/>
    <n v="1.6"/>
    <n v="411"/>
    <n v="412.6"/>
    <n v="1.7110000000000001"/>
  </r>
  <r>
    <x v="9"/>
    <x v="4"/>
    <n v="421.02"/>
    <n v="4.9450000000000003"/>
    <n v="1.5"/>
    <n v="413.7"/>
    <n v="415.2"/>
    <n v="1.5649999999999999"/>
  </r>
  <r>
    <x v="9"/>
    <x v="5"/>
    <n v="404.05500000000001"/>
    <n v="5.085"/>
    <n v="1.4"/>
    <n v="416.3"/>
    <n v="417.7"/>
    <n v="1.4670000000000001"/>
  </r>
  <r>
    <x v="9"/>
    <x v="6"/>
    <n v="405.27499999999998"/>
    <n v="6.4550000000000001"/>
    <n v="1.3"/>
    <n v="418.8"/>
    <n v="420.1"/>
    <n v="1.3979999999999999"/>
  </r>
  <r>
    <x v="9"/>
    <x v="7"/>
    <n v="403.54500000000002"/>
    <n v="8.27"/>
    <n v="1.3"/>
    <n v="421.2"/>
    <n v="422.5"/>
    <n v="1.3540000000000001"/>
  </r>
  <r>
    <x v="9"/>
    <x v="8"/>
    <n v="413.82"/>
    <n v="11.19"/>
    <n v="1.2"/>
    <n v="423.6"/>
    <n v="424.8"/>
    <n v="1.3160000000000001"/>
  </r>
  <r>
    <x v="9"/>
    <x v="9"/>
    <n v="417.64"/>
    <n v="43.625"/>
    <n v="1.2"/>
    <n v="425.9"/>
    <n v="427.1"/>
    <n v="1.2849999999999999"/>
  </r>
  <r>
    <x v="10"/>
    <x v="10"/>
    <m/>
    <m/>
    <m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x v="0"/>
    <x v="0"/>
    <n v="1161.2"/>
    <n v="3.44"/>
    <n v="9.3000000000000007"/>
    <n v="4.9000000000000004"/>
    <n v="14.2"/>
    <n v="9.6359999999999992"/>
  </r>
  <r>
    <x v="0"/>
    <x v="1"/>
    <n v="1131.67"/>
    <n v="3.9049999999999998"/>
    <n v="9.1"/>
    <n v="15.4"/>
    <n v="24.5"/>
    <n v="9.1379999999999999"/>
  </r>
  <r>
    <x v="0"/>
    <x v="2"/>
    <n v="1117.345"/>
    <n v="4.6449999999999996"/>
    <n v="8.9"/>
    <n v="25.6"/>
    <n v="34.5"/>
    <n v="8.9700000000000006"/>
  </r>
  <r>
    <x v="0"/>
    <x v="3"/>
    <n v="1106.83"/>
    <n v="4.8150000000000004"/>
    <n v="8.8000000000000007"/>
    <n v="35.6"/>
    <n v="44.4"/>
    <n v="8.8870000000000005"/>
  </r>
  <r>
    <x v="0"/>
    <x v="4"/>
    <n v="1098.8699999999999"/>
    <n v="4.4349999999999996"/>
    <n v="8.8000000000000007"/>
    <n v="45.5"/>
    <n v="54.3"/>
    <n v="8.8369999999999997"/>
  </r>
  <r>
    <x v="0"/>
    <x v="5"/>
    <n v="1089.2149999999999"/>
    <n v="3.5950000000000002"/>
    <n v="8.6999999999999993"/>
    <n v="55.3"/>
    <n v="64"/>
    <n v="8.8000000000000007"/>
  </r>
  <r>
    <x v="0"/>
    <x v="6"/>
    <n v="1098.0899999999999"/>
    <n v="4.665"/>
    <n v="8.8000000000000007"/>
    <n v="65"/>
    <n v="73.8"/>
    <n v="8.7799999999999994"/>
  </r>
  <r>
    <x v="0"/>
    <x v="7"/>
    <n v="1096.825"/>
    <n v="3.58"/>
    <n v="8.8000000000000007"/>
    <n v="74.900000000000006"/>
    <n v="83.7"/>
    <n v="8.766"/>
  </r>
  <r>
    <x v="0"/>
    <x v="8"/>
    <n v="1097.115"/>
    <n v="3.855"/>
    <n v="8.8000000000000007"/>
    <n v="84.6"/>
    <n v="93.4"/>
    <n v="8.7539999999999996"/>
  </r>
  <r>
    <x v="0"/>
    <x v="9"/>
    <n v="1099.18"/>
    <n v="4.8849999999999998"/>
    <n v="8.8000000000000007"/>
    <n v="94.4"/>
    <n v="103.2"/>
    <n v="8.7460000000000004"/>
  </r>
  <r>
    <x v="1"/>
    <x v="0"/>
    <n v="795.72"/>
    <n v="4.49"/>
    <n v="5.4"/>
    <n v="104.3"/>
    <n v="109.7"/>
    <n v="5.7610000000000001"/>
  </r>
  <r>
    <x v="1"/>
    <x v="1"/>
    <n v="743.82"/>
    <n v="4.3049999999999997"/>
    <n v="4.9000000000000004"/>
    <n v="111"/>
    <n v="115.9"/>
    <n v="5.0599999999999996"/>
  </r>
  <r>
    <x v="1"/>
    <x v="2"/>
    <n v="731.23500000000001"/>
    <n v="5.05"/>
    <n v="4.8"/>
    <n v="117"/>
    <n v="121.8"/>
    <n v="4.8220000000000001"/>
  </r>
  <r>
    <x v="1"/>
    <x v="3"/>
    <n v="706"/>
    <n v="4.25"/>
    <n v="4.5999999999999996"/>
    <n v="122.9"/>
    <n v="127.5"/>
    <n v="4.7039999999999997"/>
  </r>
  <r>
    <x v="1"/>
    <x v="4"/>
    <n v="716.48500000000001"/>
    <n v="4.4400000000000004"/>
    <n v="4.7"/>
    <n v="128.5"/>
    <n v="133.19999999999999"/>
    <n v="4.6319999999999997"/>
  </r>
  <r>
    <x v="1"/>
    <x v="5"/>
    <n v="707.75"/>
    <n v="4.6500000000000004"/>
    <n v="4.5999999999999996"/>
    <n v="134.19999999999999"/>
    <n v="138.80000000000001"/>
    <n v="4.593"/>
  </r>
  <r>
    <x v="1"/>
    <x v="6"/>
    <n v="706.245"/>
    <n v="3.8450000000000002"/>
    <n v="4.5999999999999996"/>
    <n v="139.80000000000001"/>
    <n v="144.4"/>
    <n v="4.5620000000000003"/>
  </r>
  <r>
    <x v="1"/>
    <x v="7"/>
    <n v="708.46500000000003"/>
    <n v="4.0149999999999997"/>
    <n v="4.5999999999999996"/>
    <n v="145.30000000000001"/>
    <n v="149.9"/>
    <n v="4.54"/>
  </r>
  <r>
    <x v="1"/>
    <x v="8"/>
    <n v="704.01499999999999"/>
    <n v="3.645"/>
    <n v="4.5999999999999996"/>
    <n v="150.9"/>
    <n v="155.5"/>
    <n v="4.5279999999999996"/>
  </r>
  <r>
    <x v="1"/>
    <x v="9"/>
    <n v="704.7"/>
    <n v="4.93"/>
    <n v="4.5999999999999996"/>
    <n v="156.4"/>
    <n v="161"/>
    <n v="4.5170000000000003"/>
  </r>
  <r>
    <x v="2"/>
    <x v="0"/>
    <n v="700.55499999999995"/>
    <n v="4.8099999999999996"/>
    <n v="4.4000000000000004"/>
    <n v="162.1"/>
    <n v="166.5"/>
    <n v="4.6509999999999998"/>
  </r>
  <r>
    <x v="2"/>
    <x v="1"/>
    <n v="637.245"/>
    <n v="4.68"/>
    <n v="3.7"/>
    <n v="167.7"/>
    <n v="171.4"/>
    <n v="3.7850000000000001"/>
  </r>
  <r>
    <x v="2"/>
    <x v="2"/>
    <n v="602.13"/>
    <n v="4.84"/>
    <n v="3.4"/>
    <n v="172.5"/>
    <n v="175.9"/>
    <n v="3.4969999999999999"/>
  </r>
  <r>
    <x v="2"/>
    <x v="3"/>
    <n v="603.11500000000001"/>
    <n v="4.49"/>
    <n v="3.3"/>
    <n v="177"/>
    <n v="180.3"/>
    <n v="3.3540000000000001"/>
  </r>
  <r>
    <x v="2"/>
    <x v="4"/>
    <n v="593.73"/>
    <n v="4.3550000000000004"/>
    <n v="3.3"/>
    <n v="181.3"/>
    <n v="184.6"/>
    <n v="3.2690000000000001"/>
  </r>
  <r>
    <x v="2"/>
    <x v="5"/>
    <n v="577.1"/>
    <n v="4.3949999999999996"/>
    <n v="3.2"/>
    <n v="185.6"/>
    <n v="188.8"/>
    <n v="3.22"/>
  </r>
  <r>
    <x v="2"/>
    <x v="6"/>
    <n v="592.04"/>
    <n v="4.3449999999999998"/>
    <n v="3.2"/>
    <n v="189.8"/>
    <n v="193"/>
    <n v="3.1840000000000002"/>
  </r>
  <r>
    <x v="2"/>
    <x v="7"/>
    <n v="573.755"/>
    <n v="4.42"/>
    <n v="3.2"/>
    <n v="194"/>
    <n v="197.2"/>
    <n v="3.1629999999999998"/>
  </r>
  <r>
    <x v="2"/>
    <x v="8"/>
    <n v="594.4"/>
    <n v="3.9750000000000001"/>
    <n v="3.2"/>
    <n v="198.2"/>
    <n v="201.4"/>
    <n v="3.1429999999999998"/>
  </r>
  <r>
    <x v="2"/>
    <x v="9"/>
    <n v="564.87"/>
    <n v="5.2549999999999999"/>
    <n v="3.1"/>
    <n v="202.3"/>
    <n v="205.4"/>
    <n v="3.1320000000000001"/>
  </r>
  <r>
    <x v="3"/>
    <x v="0"/>
    <n v="648.91499999999996"/>
    <n v="4.7850000000000001"/>
    <n v="3.9"/>
    <n v="206.6"/>
    <n v="210.5"/>
    <n v="4.2130000000000001"/>
  </r>
  <r>
    <x v="3"/>
    <x v="1"/>
    <n v="584.44000000000005"/>
    <n v="4.32"/>
    <n v="3.1"/>
    <n v="211.8"/>
    <n v="214.9"/>
    <n v="3.2090000000000001"/>
  </r>
  <r>
    <x v="3"/>
    <x v="2"/>
    <n v="559.29999999999995"/>
    <n v="4.2549999999999999"/>
    <n v="2.8"/>
    <n v="216"/>
    <n v="218.8"/>
    <n v="2.8759999999999999"/>
  </r>
  <r>
    <x v="3"/>
    <x v="3"/>
    <n v="552.22500000000002"/>
    <n v="4.7549999999999999"/>
    <n v="2.7"/>
    <n v="219.8"/>
    <n v="222.5"/>
    <n v="2.7050000000000001"/>
  </r>
  <r>
    <x v="3"/>
    <x v="4"/>
    <n v="537.17499999999995"/>
    <n v="4.37"/>
    <n v="2.5"/>
    <n v="223.6"/>
    <n v="226.1"/>
    <n v="2.6120000000000001"/>
  </r>
  <r>
    <x v="3"/>
    <x v="5"/>
    <n v="557.55499999999995"/>
    <n v="4.2300000000000004"/>
    <n v="2.6"/>
    <n v="227.1"/>
    <n v="229.7"/>
    <n v="2.5499999999999998"/>
  </r>
  <r>
    <x v="3"/>
    <x v="6"/>
    <n v="557.69000000000005"/>
    <n v="5"/>
    <n v="2.5"/>
    <n v="230.7"/>
    <n v="233.2"/>
    <n v="2.5099999999999998"/>
  </r>
  <r>
    <x v="3"/>
    <x v="7"/>
    <n v="527.54499999999996"/>
    <n v="4.4550000000000001"/>
    <n v="2.4"/>
    <n v="234.3"/>
    <n v="236.7"/>
    <n v="2.4820000000000002"/>
  </r>
  <r>
    <x v="3"/>
    <x v="8"/>
    <n v="528.10500000000002"/>
    <n v="3.45"/>
    <n v="2.5"/>
    <n v="237.7"/>
    <n v="240.2"/>
    <n v="2.464"/>
  </r>
  <r>
    <x v="3"/>
    <x v="9"/>
    <n v="537.98500000000001"/>
    <n v="3.5350000000000001"/>
    <n v="2.4"/>
    <n v="241.2"/>
    <n v="243.6"/>
    <n v="2.4470000000000001"/>
  </r>
  <r>
    <x v="4"/>
    <x v="0"/>
    <n v="653.01499999999999"/>
    <n v="3.92"/>
    <n v="3.8"/>
    <n v="244.7"/>
    <n v="248.5"/>
    <n v="3.9780000000000002"/>
  </r>
  <r>
    <x v="4"/>
    <x v="1"/>
    <n v="569.06500000000005"/>
    <n v="3.9950000000000001"/>
    <n v="2.8"/>
    <n v="249.7"/>
    <n v="252.5"/>
    <n v="2.899"/>
  </r>
  <r>
    <x v="4"/>
    <x v="2"/>
    <n v="552.21500000000003"/>
    <n v="4.09"/>
    <n v="2.5"/>
    <n v="253.6"/>
    <n v="256.10000000000002"/>
    <n v="2.5259999999999998"/>
  </r>
  <r>
    <x v="4"/>
    <x v="3"/>
    <n v="543.495"/>
    <n v="4.41"/>
    <n v="2.4"/>
    <n v="257.10000000000002"/>
    <n v="259.5"/>
    <n v="2.3380000000000001"/>
  </r>
  <r>
    <x v="4"/>
    <x v="4"/>
    <n v="505.92"/>
    <n v="5.01"/>
    <n v="2.1"/>
    <n v="260.5"/>
    <n v="262.60000000000002"/>
    <n v="2.2320000000000002"/>
  </r>
  <r>
    <x v="4"/>
    <x v="5"/>
    <n v="509.3"/>
    <n v="4.7949999999999999"/>
    <n v="2.1"/>
    <n v="263.7"/>
    <n v="265.8"/>
    <n v="2.165"/>
  </r>
  <r>
    <x v="4"/>
    <x v="6"/>
    <n v="510.11"/>
    <n v="4.0199999999999996"/>
    <n v="2.1"/>
    <n v="266.89999999999998"/>
    <n v="269"/>
    <n v="2.1190000000000002"/>
  </r>
  <r>
    <x v="4"/>
    <x v="7"/>
    <n v="512.09"/>
    <n v="4.3550000000000004"/>
    <n v="2.1"/>
    <n v="270"/>
    <n v="272.10000000000002"/>
    <n v="2.09"/>
  </r>
  <r>
    <x v="4"/>
    <x v="8"/>
    <n v="507.96"/>
    <n v="4.335"/>
    <n v="2"/>
    <n v="273.10000000000002"/>
    <n v="275.10000000000002"/>
    <n v="2.0640000000000001"/>
  </r>
  <r>
    <x v="4"/>
    <x v="9"/>
    <n v="498.59"/>
    <n v="5.5"/>
    <n v="2"/>
    <n v="276.10000000000002"/>
    <n v="278.10000000000002"/>
    <n v="2.0470000000000002"/>
  </r>
  <r>
    <x v="5"/>
    <x v="0"/>
    <n v="623.23500000000001"/>
    <n v="4.67"/>
    <n v="3.6"/>
    <n v="279.3"/>
    <n v="282.89999999999998"/>
    <n v="3.8010000000000002"/>
  </r>
  <r>
    <x v="5"/>
    <x v="1"/>
    <n v="561.73500000000001"/>
    <n v="4.9450000000000003"/>
    <n v="2.6"/>
    <n v="284.10000000000002"/>
    <n v="286.7"/>
    <n v="2.7160000000000002"/>
  </r>
  <r>
    <x v="5"/>
    <x v="2"/>
    <n v="528.82000000000005"/>
    <n v="5.0750000000000002"/>
    <n v="2.2000000000000002"/>
    <n v="287.8"/>
    <n v="290"/>
    <n v="2.3109999999999999"/>
  </r>
  <r>
    <x v="5"/>
    <x v="3"/>
    <n v="513.88499999999999"/>
    <n v="4.5650000000000004"/>
    <n v="2.1"/>
    <n v="291.10000000000002"/>
    <n v="293.2"/>
    <n v="2.105"/>
  </r>
  <r>
    <x v="5"/>
    <x v="4"/>
    <n v="522.74"/>
    <n v="4.0999999999999996"/>
    <n v="2"/>
    <n v="294.2"/>
    <n v="296.2"/>
    <n v="1.9930000000000001"/>
  </r>
  <r>
    <x v="5"/>
    <x v="5"/>
    <n v="485.98"/>
    <n v="4.2"/>
    <n v="1.9"/>
    <n v="297.2"/>
    <n v="299.10000000000002"/>
    <n v="1.915"/>
  </r>
  <r>
    <x v="5"/>
    <x v="6"/>
    <n v="508.76499999999999"/>
    <n v="4.47"/>
    <n v="1.8"/>
    <n v="300.10000000000002"/>
    <n v="301.89999999999998"/>
    <n v="1.865"/>
  </r>
  <r>
    <x v="5"/>
    <x v="7"/>
    <n v="500.48500000000001"/>
    <n v="4.92"/>
    <n v="1.7"/>
    <n v="303"/>
    <n v="304.7"/>
    <n v="1.829"/>
  </r>
  <r>
    <x v="5"/>
    <x v="8"/>
    <n v="497.46"/>
    <n v="4.49"/>
    <n v="1.8"/>
    <n v="305.8"/>
    <n v="307.60000000000002"/>
    <n v="1.8029999999999999"/>
  </r>
  <r>
    <x v="5"/>
    <x v="9"/>
    <n v="493.90499999999997"/>
    <n v="5.0549999999999997"/>
    <n v="1.8"/>
    <n v="308.60000000000002"/>
    <n v="310.39999999999998"/>
    <n v="1.7829999999999999"/>
  </r>
  <r>
    <x v="6"/>
    <x v="0"/>
    <n v="602.77"/>
    <n v="4.4450000000000003"/>
    <n v="3.5"/>
    <n v="311.5"/>
    <n v="315"/>
    <n v="3.661"/>
  </r>
  <r>
    <x v="6"/>
    <x v="1"/>
    <n v="539.745"/>
    <n v="4.7050000000000001"/>
    <n v="2.5"/>
    <n v="316.10000000000002"/>
    <n v="318.60000000000002"/>
    <n v="2.6120000000000001"/>
  </r>
  <r>
    <x v="6"/>
    <x v="2"/>
    <n v="515.53499999999997"/>
    <n v="4.7050000000000001"/>
    <n v="2.1"/>
    <n v="319.7"/>
    <n v="321.8"/>
    <n v="2.17"/>
  </r>
  <r>
    <x v="6"/>
    <x v="3"/>
    <n v="504.125"/>
    <n v="4.29"/>
    <n v="2"/>
    <n v="322.89999999999998"/>
    <n v="324.89999999999998"/>
    <n v="1.9490000000000001"/>
  </r>
  <r>
    <x v="6"/>
    <x v="4"/>
    <n v="461.42"/>
    <n v="4.5199999999999996"/>
    <n v="1.8"/>
    <n v="325.89999999999998"/>
    <n v="327.7"/>
    <n v="1.825"/>
  </r>
  <r>
    <x v="6"/>
    <x v="5"/>
    <n v="486.59500000000003"/>
    <n v="5.15"/>
    <n v="1.7"/>
    <n v="328.7"/>
    <n v="330.4"/>
    <n v="1.744"/>
  </r>
  <r>
    <x v="6"/>
    <x v="6"/>
    <n v="438.08499999999998"/>
    <n v="4.4850000000000003"/>
    <n v="1.6"/>
    <n v="331.5"/>
    <n v="333.1"/>
    <n v="1.6910000000000001"/>
  </r>
  <r>
    <x v="6"/>
    <x v="7"/>
    <n v="463.55"/>
    <n v="4.6449999999999996"/>
    <n v="1.6"/>
    <n v="334.1"/>
    <n v="335.7"/>
    <n v="1.651"/>
  </r>
  <r>
    <x v="6"/>
    <x v="8"/>
    <n v="501.96"/>
    <n v="4.79"/>
    <n v="1.6"/>
    <n v="336.8"/>
    <n v="338.4"/>
    <n v="1.621"/>
  </r>
  <r>
    <x v="6"/>
    <x v="9"/>
    <n v="424.71499999999997"/>
    <n v="6.19"/>
    <n v="1.5"/>
    <n v="339.5"/>
    <n v="341"/>
    <n v="1.601"/>
  </r>
  <r>
    <x v="7"/>
    <x v="0"/>
    <n v="574.44000000000005"/>
    <n v="4.835"/>
    <n v="3.3"/>
    <n v="342.2"/>
    <n v="345.5"/>
    <n v="3.5430000000000001"/>
  </r>
  <r>
    <x v="7"/>
    <x v="1"/>
    <n v="525.45500000000004"/>
    <n v="4.7850000000000001"/>
    <n v="2.5"/>
    <n v="346.7"/>
    <n v="349.2"/>
    <n v="2.528"/>
  </r>
  <r>
    <x v="7"/>
    <x v="2"/>
    <n v="486.685"/>
    <n v="4.7549999999999999"/>
    <n v="2"/>
    <n v="350.2"/>
    <n v="352.2"/>
    <n v="2.077"/>
  </r>
  <r>
    <x v="7"/>
    <x v="3"/>
    <n v="477.3"/>
    <n v="4.2"/>
    <n v="1.8"/>
    <n v="353.3"/>
    <n v="355.1"/>
    <n v="1.841"/>
  </r>
  <r>
    <x v="7"/>
    <x v="4"/>
    <n v="478.34500000000003"/>
    <n v="4.2949999999999999"/>
    <n v="1.7"/>
    <n v="356.1"/>
    <n v="357.8"/>
    <n v="1.7090000000000001"/>
  </r>
  <r>
    <x v="7"/>
    <x v="5"/>
    <n v="433.73500000000001"/>
    <n v="4.5250000000000004"/>
    <n v="1.5"/>
    <n v="358.8"/>
    <n v="360.3"/>
    <n v="1.6220000000000001"/>
  </r>
  <r>
    <x v="7"/>
    <x v="6"/>
    <n v="480.36500000000001"/>
    <n v="5.05"/>
    <n v="1.5"/>
    <n v="361.4"/>
    <n v="362.9"/>
    <n v="1.5660000000000001"/>
  </r>
  <r>
    <x v="7"/>
    <x v="7"/>
    <n v="442.60500000000002"/>
    <n v="4.375"/>
    <n v="1.5"/>
    <n v="364"/>
    <n v="365.5"/>
    <n v="1.5209999999999999"/>
  </r>
  <r>
    <x v="7"/>
    <x v="8"/>
    <n v="471.375"/>
    <n v="6.85"/>
    <n v="1.4"/>
    <n v="366.5"/>
    <n v="367.9"/>
    <n v="1.494"/>
  </r>
  <r>
    <x v="7"/>
    <x v="9"/>
    <n v="482.53"/>
    <n v="6.02"/>
    <n v="1.5"/>
    <n v="369"/>
    <n v="370.5"/>
    <n v="1.4670000000000001"/>
  </r>
  <r>
    <x v="8"/>
    <x v="0"/>
    <n v="559.60500000000002"/>
    <n v="4.8099999999999996"/>
    <n v="3.2"/>
    <n v="371.7"/>
    <n v="374.9"/>
    <n v="3.4420000000000002"/>
  </r>
  <r>
    <x v="8"/>
    <x v="1"/>
    <n v="507.77499999999998"/>
    <n v="4.6050000000000004"/>
    <n v="2.2999999999999998"/>
    <n v="376.1"/>
    <n v="378.4"/>
    <n v="2.4540000000000002"/>
  </r>
  <r>
    <x v="8"/>
    <x v="2"/>
    <n v="460.95499999999998"/>
    <n v="4.8"/>
    <n v="1.9"/>
    <n v="379.5"/>
    <n v="381.4"/>
    <n v="2.0129999999999999"/>
  </r>
  <r>
    <x v="8"/>
    <x v="3"/>
    <n v="458.41"/>
    <n v="4.3099999999999996"/>
    <n v="1.7"/>
    <n v="382.5"/>
    <n v="384.2"/>
    <n v="1.7649999999999999"/>
  </r>
  <r>
    <x v="8"/>
    <x v="4"/>
    <n v="464.565"/>
    <n v="4.88"/>
    <n v="1.6"/>
    <n v="385.2"/>
    <n v="386.8"/>
    <n v="1.6259999999999999"/>
  </r>
  <r>
    <x v="8"/>
    <x v="5"/>
    <n v="429.48500000000001"/>
    <n v="4.3550000000000004"/>
    <n v="1.4"/>
    <n v="387.9"/>
    <n v="389.3"/>
    <n v="1.5349999999999999"/>
  </r>
  <r>
    <x v="8"/>
    <x v="6"/>
    <n v="468.44499999999999"/>
    <n v="4.9000000000000004"/>
    <n v="1.4"/>
    <n v="390.4"/>
    <n v="391.8"/>
    <n v="1.4690000000000001"/>
  </r>
  <r>
    <x v="8"/>
    <x v="7"/>
    <n v="440.83499999999998"/>
    <n v="6.3150000000000004"/>
    <n v="1.3"/>
    <n v="392.9"/>
    <n v="394.2"/>
    <n v="1.4239999999999999"/>
  </r>
  <r>
    <x v="8"/>
    <x v="8"/>
    <n v="437.48"/>
    <n v="7.95"/>
    <n v="1.3"/>
    <n v="395.3"/>
    <n v="396.6"/>
    <n v="1.391"/>
  </r>
  <r>
    <x v="8"/>
    <x v="9"/>
    <n v="438.185"/>
    <n v="10.01"/>
    <n v="1.3"/>
    <n v="397.7"/>
    <n v="399"/>
    <n v="1.3680000000000001"/>
  </r>
  <r>
    <x v="9"/>
    <x v="0"/>
    <n v="554.82000000000005"/>
    <n v="4.0650000000000004"/>
    <n v="3.2"/>
    <n v="400.3"/>
    <n v="403.5"/>
    <n v="3.407"/>
  </r>
  <r>
    <x v="9"/>
    <x v="1"/>
    <n v="498.625"/>
    <n v="4.9050000000000002"/>
    <n v="2.2999999999999998"/>
    <n v="404.6"/>
    <n v="406.9"/>
    <n v="2.3889999999999998"/>
  </r>
  <r>
    <x v="9"/>
    <x v="2"/>
    <n v="499.57499999999999"/>
    <n v="5.2750000000000004"/>
    <n v="1.9"/>
    <n v="408"/>
    <n v="409.9"/>
    <n v="1.9650000000000001"/>
  </r>
  <r>
    <x v="9"/>
    <x v="3"/>
    <n v="470.755"/>
    <n v="5.1550000000000002"/>
    <n v="1.6"/>
    <n v="411"/>
    <n v="412.6"/>
    <n v="1.7110000000000001"/>
  </r>
  <r>
    <x v="9"/>
    <x v="4"/>
    <n v="439.71"/>
    <n v="4.6100000000000003"/>
    <n v="1.4"/>
    <n v="413.7"/>
    <n v="415.1"/>
    <n v="1.5629999999999999"/>
  </r>
  <r>
    <x v="9"/>
    <x v="5"/>
    <n v="466.82499999999999"/>
    <n v="5.9050000000000002"/>
    <n v="1.3"/>
    <n v="416.2"/>
    <n v="417.5"/>
    <n v="1.468"/>
  </r>
  <r>
    <x v="9"/>
    <x v="6"/>
    <n v="421.36"/>
    <n v="8.3049999999999997"/>
    <n v="1.2"/>
    <n v="418.7"/>
    <n v="419.9"/>
    <n v="1.395"/>
  </r>
  <r>
    <x v="9"/>
    <x v="7"/>
    <n v="423.85"/>
    <n v="8.2850000000000001"/>
    <n v="1.2"/>
    <n v="421.1"/>
    <n v="422.3"/>
    <n v="1.355"/>
  </r>
  <r>
    <x v="9"/>
    <x v="8"/>
    <n v="451.47"/>
    <n v="11.435"/>
    <n v="1.2"/>
    <n v="423.4"/>
    <n v="424.6"/>
    <n v="1.3169999999999999"/>
  </r>
  <r>
    <x v="9"/>
    <x v="9"/>
    <n v="447.55"/>
    <n v="162.67500000000001"/>
    <n v="1.2"/>
    <n v="425.8"/>
    <n v="427"/>
    <n v="1.2849999999999999"/>
  </r>
  <r>
    <x v="10"/>
    <x v="10"/>
    <m/>
    <m/>
    <m/>
    <m/>
    <m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x v="0"/>
    <x v="0"/>
    <n v="1131.8800000000001"/>
    <n v="4.6849999999999996"/>
    <n v="9.5"/>
    <n v="4.2"/>
    <n v="13.7"/>
    <m/>
  </r>
  <r>
    <x v="0"/>
    <x v="1"/>
    <n v="1079.175"/>
    <n v="4.88"/>
    <n v="8.9"/>
    <n v="14.9"/>
    <n v="23.8"/>
    <m/>
  </r>
  <r>
    <x v="0"/>
    <x v="2"/>
    <n v="1078.67"/>
    <n v="4.83"/>
    <n v="8.9"/>
    <n v="25"/>
    <n v="33.9"/>
    <m/>
  </r>
  <r>
    <x v="0"/>
    <x v="3"/>
    <n v="1066.46"/>
    <n v="4.7699999999999996"/>
    <n v="8.8000000000000007"/>
    <n v="35"/>
    <n v="43.8"/>
    <m/>
  </r>
  <r>
    <x v="0"/>
    <x v="4"/>
    <n v="1065.45"/>
    <n v="4.6399999999999997"/>
    <n v="8.8000000000000007"/>
    <n v="44.9"/>
    <n v="53.7"/>
    <m/>
  </r>
  <r>
    <x v="0"/>
    <x v="5"/>
    <n v="1057.655"/>
    <n v="4.9249999999999998"/>
    <n v="8.6999999999999993"/>
    <n v="54.7"/>
    <n v="63.4"/>
    <m/>
  </r>
  <r>
    <x v="0"/>
    <x v="6"/>
    <n v="1067.8900000000001"/>
    <n v="4.5"/>
    <n v="8.8000000000000007"/>
    <n v="64.5"/>
    <n v="73.3"/>
    <m/>
  </r>
  <r>
    <x v="0"/>
    <x v="7"/>
    <n v="1064.9000000000001"/>
    <n v="3.625"/>
    <n v="8.8000000000000007"/>
    <n v="74.3"/>
    <n v="83.1"/>
    <m/>
  </r>
  <r>
    <x v="0"/>
    <x v="8"/>
    <n v="1067.68"/>
    <n v="4.4450000000000003"/>
    <n v="8.8000000000000007"/>
    <n v="84"/>
    <n v="92.8"/>
    <m/>
  </r>
  <r>
    <x v="0"/>
    <x v="9"/>
    <n v="1064.23"/>
    <n v="4.9850000000000003"/>
    <n v="8.8000000000000007"/>
    <n v="93.8"/>
    <n v="102.6"/>
    <m/>
  </r>
  <r>
    <x v="1"/>
    <x v="0"/>
    <n v="776.73"/>
    <n v="4.5250000000000004"/>
    <n v="5.6"/>
    <n v="103.7"/>
    <n v="109.3"/>
    <m/>
  </r>
  <r>
    <x v="1"/>
    <x v="1"/>
    <n v="715.87"/>
    <n v="4.8250000000000002"/>
    <n v="5"/>
    <n v="110.4"/>
    <n v="115.4"/>
    <m/>
  </r>
  <r>
    <x v="1"/>
    <x v="2"/>
    <n v="686.83500000000004"/>
    <n v="4.7249999999999996"/>
    <n v="4.7"/>
    <n v="116.5"/>
    <n v="121.2"/>
    <m/>
  </r>
  <r>
    <x v="1"/>
    <x v="3"/>
    <n v="690.15499999999997"/>
    <n v="4.57"/>
    <n v="4.7"/>
    <n v="122.3"/>
    <n v="127"/>
    <m/>
  </r>
  <r>
    <x v="1"/>
    <x v="4"/>
    <n v="677.06"/>
    <n v="4.71"/>
    <n v="4.5999999999999996"/>
    <n v="128"/>
    <n v="132.6"/>
    <m/>
  </r>
  <r>
    <x v="1"/>
    <x v="5"/>
    <n v="676.79499999999996"/>
    <n v="4.0599999999999996"/>
    <n v="4.5999999999999996"/>
    <n v="133.6"/>
    <n v="138.19999999999999"/>
    <m/>
  </r>
  <r>
    <x v="1"/>
    <x v="6"/>
    <n v="682.14"/>
    <n v="4.2149999999999999"/>
    <n v="4.5999999999999996"/>
    <n v="139.19999999999999"/>
    <n v="143.80000000000001"/>
    <m/>
  </r>
  <r>
    <x v="1"/>
    <x v="7"/>
    <n v="668.92"/>
    <n v="3.9249999999999998"/>
    <n v="4.5"/>
    <n v="144.80000000000001"/>
    <n v="149.30000000000001"/>
    <m/>
  </r>
  <r>
    <x v="1"/>
    <x v="8"/>
    <n v="681.47"/>
    <n v="3.92"/>
    <n v="4.5999999999999996"/>
    <n v="150.30000000000001"/>
    <n v="154.9"/>
    <m/>
  </r>
  <r>
    <x v="1"/>
    <x v="9"/>
    <n v="676.64"/>
    <n v="5.4050000000000002"/>
    <n v="4.5999999999999996"/>
    <n v="155.80000000000001"/>
    <n v="160.4"/>
    <m/>
  </r>
  <r>
    <x v="2"/>
    <x v="0"/>
    <n v="652.005"/>
    <n v="4.0449999999999999"/>
    <n v="4.2"/>
    <n v="161.6"/>
    <n v="165.8"/>
    <m/>
  </r>
  <r>
    <x v="2"/>
    <x v="1"/>
    <n v="611.12"/>
    <n v="5.085"/>
    <n v="3.7"/>
    <n v="167.1"/>
    <n v="170.8"/>
    <m/>
  </r>
  <r>
    <x v="2"/>
    <x v="2"/>
    <n v="579.51"/>
    <n v="4.95"/>
    <n v="3.4"/>
    <n v="171.9"/>
    <n v="175.3"/>
    <m/>
  </r>
  <r>
    <x v="2"/>
    <x v="3"/>
    <n v="579.29499999999996"/>
    <n v="5.0049999999999999"/>
    <n v="3.3"/>
    <n v="176.4"/>
    <n v="179.7"/>
    <m/>
  </r>
  <r>
    <x v="2"/>
    <x v="4"/>
    <n v="567.72500000000002"/>
    <n v="5.0549999999999997"/>
    <n v="3.2"/>
    <n v="180.8"/>
    <n v="184"/>
    <m/>
  </r>
  <r>
    <x v="2"/>
    <x v="5"/>
    <n v="542.58500000000004"/>
    <n v="4.54"/>
    <n v="3.1"/>
    <n v="185.1"/>
    <n v="188.2"/>
    <m/>
  </r>
  <r>
    <x v="2"/>
    <x v="6"/>
    <n v="565.08000000000004"/>
    <n v="4.8550000000000004"/>
    <n v="3.2"/>
    <n v="189.2"/>
    <n v="192.4"/>
    <m/>
  </r>
  <r>
    <x v="2"/>
    <x v="7"/>
    <n v="548.99"/>
    <n v="4.3550000000000004"/>
    <n v="3.1"/>
    <n v="193.5"/>
    <n v="196.6"/>
    <m/>
  </r>
  <r>
    <x v="2"/>
    <x v="8"/>
    <n v="553.03499999999997"/>
    <n v="4.9050000000000002"/>
    <n v="3.1"/>
    <n v="197.6"/>
    <n v="200.7"/>
    <m/>
  </r>
  <r>
    <x v="2"/>
    <x v="9"/>
    <n v="549.79499999999996"/>
    <n v="5.58"/>
    <n v="3.1"/>
    <n v="201.8"/>
    <n v="204.9"/>
    <m/>
  </r>
  <r>
    <x v="3"/>
    <x v="0"/>
    <n v="618.66499999999996"/>
    <n v="4.1399999999999997"/>
    <n v="3.8"/>
    <n v="206.1"/>
    <n v="209.9"/>
    <m/>
  </r>
  <r>
    <x v="3"/>
    <x v="1"/>
    <n v="551.28499999999997"/>
    <n v="4.2699999999999996"/>
    <n v="3"/>
    <n v="211.2"/>
    <n v="214.2"/>
    <m/>
  </r>
  <r>
    <x v="3"/>
    <x v="2"/>
    <n v="532.19500000000005"/>
    <n v="5.4950000000000001"/>
    <n v="2.8"/>
    <n v="215.4"/>
    <n v="218.2"/>
    <m/>
  </r>
  <r>
    <x v="3"/>
    <x v="3"/>
    <n v="526.38"/>
    <n v="4.5199999999999996"/>
    <n v="2.6"/>
    <n v="219.3"/>
    <n v="221.9"/>
    <m/>
  </r>
  <r>
    <x v="3"/>
    <x v="4"/>
    <n v="514.36"/>
    <n v="5.33"/>
    <n v="2.6"/>
    <n v="222.9"/>
    <n v="225.5"/>
    <m/>
  </r>
  <r>
    <x v="3"/>
    <x v="5"/>
    <n v="498.58499999999998"/>
    <n v="4.3550000000000004"/>
    <n v="2.5"/>
    <n v="226.6"/>
    <n v="229.1"/>
    <m/>
  </r>
  <r>
    <x v="3"/>
    <x v="6"/>
    <n v="507.745"/>
    <n v="4.16"/>
    <n v="2.5"/>
    <n v="230.1"/>
    <n v="232.6"/>
    <m/>
  </r>
  <r>
    <x v="3"/>
    <x v="7"/>
    <n v="531.77"/>
    <n v="4.5650000000000004"/>
    <n v="2.5"/>
    <n v="233.6"/>
    <n v="236.1"/>
    <m/>
  </r>
  <r>
    <x v="3"/>
    <x v="8"/>
    <n v="538.25"/>
    <n v="4.2249999999999996"/>
    <n v="2.5"/>
    <n v="237.1"/>
    <n v="239.6"/>
    <m/>
  </r>
  <r>
    <x v="3"/>
    <x v="9"/>
    <n v="507.90499999999997"/>
    <n v="5.9550000000000001"/>
    <n v="2.5"/>
    <n v="240.6"/>
    <n v="243.1"/>
    <m/>
  </r>
  <r>
    <x v="4"/>
    <x v="0"/>
    <n v="607.95000000000005"/>
    <n v="4.8250000000000002"/>
    <n v="3.6"/>
    <n v="244.3"/>
    <n v="247.9"/>
    <m/>
  </r>
  <r>
    <x v="4"/>
    <x v="1"/>
    <n v="559.84"/>
    <n v="4.68"/>
    <n v="2.8"/>
    <n v="249.1"/>
    <n v="251.9"/>
    <m/>
  </r>
  <r>
    <x v="4"/>
    <x v="2"/>
    <n v="531.54"/>
    <n v="5.34"/>
    <n v="2.5"/>
    <n v="253"/>
    <n v="255.5"/>
    <m/>
  </r>
  <r>
    <x v="4"/>
    <x v="3"/>
    <n v="502.185"/>
    <n v="5.1449999999999996"/>
    <n v="2.2000000000000002"/>
    <n v="256.60000000000002"/>
    <n v="258.8"/>
    <m/>
  </r>
  <r>
    <x v="4"/>
    <x v="4"/>
    <n v="504.15"/>
    <n v="4.67"/>
    <n v="2.2000000000000002"/>
    <n v="259.89999999999998"/>
    <n v="262.10000000000002"/>
    <m/>
  </r>
  <r>
    <x v="4"/>
    <x v="5"/>
    <n v="505.01"/>
    <n v="4.835"/>
    <n v="2.2000000000000002"/>
    <n v="263.10000000000002"/>
    <n v="265.3"/>
    <m/>
  </r>
  <r>
    <x v="4"/>
    <x v="6"/>
    <n v="497.74"/>
    <n v="4.76"/>
    <n v="2.1"/>
    <n v="266.3"/>
    <n v="268.39999999999998"/>
    <m/>
  </r>
  <r>
    <x v="4"/>
    <x v="7"/>
    <n v="485.2"/>
    <n v="4.7"/>
    <n v="2"/>
    <n v="269.39999999999998"/>
    <n v="271.39999999999998"/>
    <m/>
  </r>
  <r>
    <x v="4"/>
    <x v="8"/>
    <n v="480.35"/>
    <n v="5.52"/>
    <n v="2"/>
    <n v="272.5"/>
    <n v="274.5"/>
    <m/>
  </r>
  <r>
    <x v="4"/>
    <x v="9"/>
    <n v="484.08"/>
    <n v="6.02"/>
    <n v="2"/>
    <n v="275.60000000000002"/>
    <n v="277.60000000000002"/>
    <m/>
  </r>
  <r>
    <x v="5"/>
    <x v="0"/>
    <n v="604.05499999999995"/>
    <n v="4.9550000000000001"/>
    <n v="3.6"/>
    <n v="278.8"/>
    <n v="282.39999999999998"/>
    <m/>
  </r>
  <r>
    <x v="5"/>
    <x v="1"/>
    <n v="543.05499999999995"/>
    <n v="4.9000000000000004"/>
    <n v="2.6"/>
    <n v="283.5"/>
    <n v="286.10000000000002"/>
    <m/>
  </r>
  <r>
    <x v="5"/>
    <x v="2"/>
    <n v="521.73500000000001"/>
    <n v="4.8250000000000002"/>
    <n v="2.2999999999999998"/>
    <n v="287.2"/>
    <n v="289.5"/>
    <m/>
  </r>
  <r>
    <x v="5"/>
    <x v="3"/>
    <n v="511.88"/>
    <n v="5.0549999999999997"/>
    <n v="2.1"/>
    <n v="290.5"/>
    <n v="292.60000000000002"/>
    <m/>
  </r>
  <r>
    <x v="5"/>
    <x v="4"/>
    <n v="481.685"/>
    <n v="4.53"/>
    <n v="2"/>
    <n v="293.60000000000002"/>
    <n v="295.60000000000002"/>
    <m/>
  </r>
  <r>
    <x v="5"/>
    <x v="5"/>
    <n v="502.5"/>
    <n v="4.6950000000000003"/>
    <n v="1.9"/>
    <n v="296.60000000000002"/>
    <n v="298.5"/>
    <m/>
  </r>
  <r>
    <x v="5"/>
    <x v="6"/>
    <n v="462.66500000000002"/>
    <n v="5.4349999999999996"/>
    <n v="1.8"/>
    <n v="299.5"/>
    <n v="301.3"/>
    <m/>
  </r>
  <r>
    <x v="5"/>
    <x v="7"/>
    <n v="453.91"/>
    <n v="4.7149999999999999"/>
    <n v="1.8"/>
    <n v="302.39999999999998"/>
    <n v="304.2"/>
    <m/>
  </r>
  <r>
    <x v="5"/>
    <x v="8"/>
    <n v="458.94499999999999"/>
    <n v="5.8"/>
    <n v="1.8"/>
    <n v="305.2"/>
    <n v="307"/>
    <m/>
  </r>
  <r>
    <x v="5"/>
    <x v="9"/>
    <n v="448.24"/>
    <n v="6.165"/>
    <n v="1.7"/>
    <n v="308.10000000000002"/>
    <n v="309.8"/>
    <m/>
  </r>
  <r>
    <x v="6"/>
    <x v="0"/>
    <n v="582.28499999999997"/>
    <n v="5.33"/>
    <n v="3.4"/>
    <n v="311"/>
    <n v="314.39999999999998"/>
    <m/>
  </r>
  <r>
    <x v="6"/>
    <x v="1"/>
    <n v="527.36"/>
    <n v="5.14"/>
    <n v="2.5"/>
    <n v="315.60000000000002"/>
    <n v="318.10000000000002"/>
    <m/>
  </r>
  <r>
    <x v="6"/>
    <x v="2"/>
    <n v="494.55"/>
    <n v="5.19"/>
    <n v="2.1"/>
    <n v="319.2"/>
    <n v="321.3"/>
    <m/>
  </r>
  <r>
    <x v="6"/>
    <x v="3"/>
    <n v="478.59"/>
    <n v="4.9400000000000004"/>
    <n v="1.8"/>
    <n v="322.39999999999998"/>
    <n v="324.2"/>
    <m/>
  </r>
  <r>
    <x v="6"/>
    <x v="4"/>
    <n v="471.42"/>
    <n v="4.9050000000000002"/>
    <n v="1.8"/>
    <n v="325.3"/>
    <n v="327.10000000000002"/>
    <m/>
  </r>
  <r>
    <x v="6"/>
    <x v="5"/>
    <n v="461.42"/>
    <n v="4.5750000000000002"/>
    <n v="1.7"/>
    <n v="328.1"/>
    <n v="329.8"/>
    <m/>
  </r>
  <r>
    <x v="6"/>
    <x v="6"/>
    <n v="489.29500000000002"/>
    <n v="5.27"/>
    <n v="1.7"/>
    <n v="330.8"/>
    <n v="332.5"/>
    <m/>
  </r>
  <r>
    <x v="6"/>
    <x v="7"/>
    <n v="474.35"/>
    <n v="4.7850000000000001"/>
    <n v="1.6"/>
    <n v="333.6"/>
    <n v="335.2"/>
    <m/>
  </r>
  <r>
    <x v="6"/>
    <x v="8"/>
    <n v="411.51"/>
    <n v="4.8250000000000002"/>
    <n v="1.6"/>
    <n v="336.2"/>
    <n v="337.8"/>
    <m/>
  </r>
  <r>
    <x v="6"/>
    <x v="9"/>
    <n v="480.45499999999998"/>
    <n v="6.2450000000000001"/>
    <n v="1.6"/>
    <n v="338.8"/>
    <n v="340.4"/>
    <m/>
  </r>
  <r>
    <x v="7"/>
    <x v="0"/>
    <n v="557.97500000000002"/>
    <n v="4.5999999999999996"/>
    <n v="3.3"/>
    <n v="341.6"/>
    <n v="344.9"/>
    <m/>
  </r>
  <r>
    <x v="7"/>
    <x v="1"/>
    <n v="502.59"/>
    <n v="4.7949999999999999"/>
    <n v="2.4"/>
    <n v="346.1"/>
    <n v="348.5"/>
    <m/>
  </r>
  <r>
    <x v="7"/>
    <x v="2"/>
    <n v="494.86"/>
    <n v="5.2750000000000004"/>
    <n v="2"/>
    <n v="349.6"/>
    <n v="351.6"/>
    <m/>
  </r>
  <r>
    <x v="7"/>
    <x v="3"/>
    <n v="467.47500000000002"/>
    <n v="4.82"/>
    <n v="1.7"/>
    <n v="352.7"/>
    <n v="354.4"/>
    <m/>
  </r>
  <r>
    <x v="7"/>
    <x v="4"/>
    <n v="450.35"/>
    <n v="4.58"/>
    <n v="1.6"/>
    <n v="355.5"/>
    <n v="357.1"/>
    <m/>
  </r>
  <r>
    <x v="7"/>
    <x v="5"/>
    <n v="468.57"/>
    <n v="5.0049999999999999"/>
    <n v="1.6"/>
    <n v="358.2"/>
    <n v="359.8"/>
    <m/>
  </r>
  <r>
    <x v="7"/>
    <x v="6"/>
    <n v="409.34"/>
    <n v="5.31"/>
    <n v="1.4"/>
    <n v="360.9"/>
    <n v="362.3"/>
    <m/>
  </r>
  <r>
    <x v="7"/>
    <x v="7"/>
    <n v="464.54"/>
    <n v="5.5549999999999997"/>
    <n v="1.5"/>
    <n v="363.4"/>
    <n v="364.9"/>
    <m/>
  </r>
  <r>
    <x v="7"/>
    <x v="8"/>
    <n v="454.62"/>
    <n v="5.82"/>
    <n v="1.4"/>
    <n v="366"/>
    <n v="367.4"/>
    <m/>
  </r>
  <r>
    <x v="7"/>
    <x v="9"/>
    <n v="416.74"/>
    <n v="6.8449999999999998"/>
    <n v="1.4"/>
    <n v="368.5"/>
    <n v="369.9"/>
    <m/>
  </r>
  <r>
    <x v="8"/>
    <x v="0"/>
    <n v="542.97500000000002"/>
    <n v="4.41"/>
    <n v="3.2"/>
    <n v="371"/>
    <n v="374.2"/>
    <m/>
  </r>
  <r>
    <x v="8"/>
    <x v="1"/>
    <n v="496.69499999999999"/>
    <n v="4.7300000000000004"/>
    <n v="2.4"/>
    <n v="375.4"/>
    <n v="377.8"/>
    <m/>
  </r>
  <r>
    <x v="8"/>
    <x v="2"/>
    <n v="466.24"/>
    <n v="5.01"/>
    <n v="1.9"/>
    <n v="378.9"/>
    <n v="380.8"/>
    <m/>
  </r>
  <r>
    <x v="8"/>
    <x v="3"/>
    <n v="464.02499999999998"/>
    <n v="5.0549999999999997"/>
    <n v="1.7"/>
    <n v="381.9"/>
    <n v="383.6"/>
    <m/>
  </r>
  <r>
    <x v="8"/>
    <x v="4"/>
    <n v="434.83"/>
    <n v="4.7149999999999999"/>
    <n v="1.5"/>
    <n v="384.7"/>
    <n v="386.2"/>
    <m/>
  </r>
  <r>
    <x v="8"/>
    <x v="5"/>
    <n v="437.11500000000001"/>
    <n v="6.3849999999999998"/>
    <n v="1.4"/>
    <n v="387.3"/>
    <n v="388.7"/>
    <m/>
  </r>
  <r>
    <x v="8"/>
    <x v="6"/>
    <n v="424.33"/>
    <n v="5.82"/>
    <n v="1.3"/>
    <n v="389.9"/>
    <n v="391.2"/>
    <m/>
  </r>
  <r>
    <x v="8"/>
    <x v="7"/>
    <n v="417.75"/>
    <n v="6.36"/>
    <n v="1.3"/>
    <n v="392.4"/>
    <n v="393.7"/>
    <m/>
  </r>
  <r>
    <x v="8"/>
    <x v="8"/>
    <n v="426.66"/>
    <n v="7.8650000000000002"/>
    <n v="1.3"/>
    <n v="394.8"/>
    <n v="396.1"/>
    <m/>
  </r>
  <r>
    <x v="8"/>
    <x v="9"/>
    <n v="434.69"/>
    <n v="8.8650000000000002"/>
    <n v="1.3"/>
    <n v="397.2"/>
    <n v="398.5"/>
    <m/>
  </r>
  <r>
    <x v="9"/>
    <x v="0"/>
    <n v="553.22500000000002"/>
    <n v="4.2549999999999999"/>
    <n v="3.3"/>
    <n v="399.6"/>
    <n v="402.9"/>
    <m/>
  </r>
  <r>
    <x v="9"/>
    <x v="1"/>
    <n v="481.10500000000002"/>
    <n v="5.0350000000000001"/>
    <n v="2.2999999999999998"/>
    <n v="404"/>
    <n v="406.3"/>
    <m/>
  </r>
  <r>
    <x v="9"/>
    <x v="2"/>
    <n v="455.73"/>
    <n v="4.6550000000000002"/>
    <n v="1.9"/>
    <n v="407.4"/>
    <n v="409.3"/>
    <m/>
  </r>
  <r>
    <x v="9"/>
    <x v="3"/>
    <n v="442.82499999999999"/>
    <n v="5.3650000000000002"/>
    <n v="1.7"/>
    <n v="410.3"/>
    <n v="412"/>
    <m/>
  </r>
  <r>
    <x v="9"/>
    <x v="4"/>
    <n v="449.61500000000001"/>
    <n v="5.0599999999999996"/>
    <n v="1.4"/>
    <n v="413.1"/>
    <n v="414.5"/>
    <m/>
  </r>
  <r>
    <x v="9"/>
    <x v="5"/>
    <n v="424.51"/>
    <n v="5.6449999999999996"/>
    <n v="1.4"/>
    <n v="415.6"/>
    <n v="417"/>
    <m/>
  </r>
  <r>
    <x v="9"/>
    <x v="6"/>
    <n v="420.73500000000001"/>
    <n v="6.2850000000000001"/>
    <n v="1.3"/>
    <n v="418.1"/>
    <n v="419.4"/>
    <m/>
  </r>
  <r>
    <x v="9"/>
    <x v="7"/>
    <n v="437.86"/>
    <n v="7.77"/>
    <n v="1.3"/>
    <n v="420.5"/>
    <n v="421.8"/>
    <m/>
  </r>
  <r>
    <x v="9"/>
    <x v="8"/>
    <n v="428.54500000000002"/>
    <n v="10.955"/>
    <n v="1.2"/>
    <n v="422.9"/>
    <n v="424.1"/>
    <m/>
  </r>
  <r>
    <x v="9"/>
    <x v="9"/>
    <n v="422.38"/>
    <n v="33.185000000000002"/>
    <n v="1.2"/>
    <n v="425.2"/>
    <n v="426.4"/>
    <m/>
  </r>
  <r>
    <x v="10"/>
    <x v="10"/>
    <m/>
    <m/>
    <m/>
    <m/>
    <m/>
    <m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x v="0"/>
    <x v="0"/>
    <n v="1080.5999999999999"/>
    <n v="5.1100000000000003"/>
    <n v="9.1999999999999993"/>
    <n v="6.4"/>
    <n v="15.6"/>
    <n v="9.6389999999999993"/>
  </r>
  <r>
    <x v="0"/>
    <x v="1"/>
    <n v="1053.04"/>
    <n v="5.125"/>
    <n v="8.9"/>
    <n v="17"/>
    <n v="25.9"/>
    <n v="9.1419999999999995"/>
  </r>
  <r>
    <x v="0"/>
    <x v="2"/>
    <n v="1052.57"/>
    <n v="4.49"/>
    <n v="8.9"/>
    <n v="27.1"/>
    <n v="36"/>
    <n v="8.9719999999999995"/>
  </r>
  <r>
    <x v="0"/>
    <x v="3"/>
    <n v="1054.6949999999999"/>
    <n v="4.5199999999999996"/>
    <n v="8.9"/>
    <n v="37"/>
    <n v="45.9"/>
    <n v="8.8859999999999992"/>
  </r>
  <r>
    <x v="0"/>
    <x v="4"/>
    <n v="1046.855"/>
    <n v="4.97"/>
    <n v="8.8000000000000007"/>
    <n v="46.9"/>
    <n v="55.7"/>
    <n v="8.8379999999999992"/>
  </r>
  <r>
    <x v="0"/>
    <x v="5"/>
    <n v="1050.375"/>
    <n v="4.92"/>
    <n v="8.8000000000000007"/>
    <n v="56.8"/>
    <n v="65.599999999999994"/>
    <n v="8.8059999999999992"/>
  </r>
  <r>
    <x v="0"/>
    <x v="6"/>
    <n v="1048.175"/>
    <n v="4.7649999999999997"/>
    <n v="8.8000000000000007"/>
    <n v="66.599999999999994"/>
    <n v="75.400000000000006"/>
    <n v="8.7829999999999995"/>
  </r>
  <r>
    <x v="0"/>
    <x v="7"/>
    <n v="1039.085"/>
    <n v="5.1100000000000003"/>
    <n v="8.6999999999999993"/>
    <n v="76.400000000000006"/>
    <n v="85.1"/>
    <n v="8.7690000000000001"/>
  </r>
  <r>
    <x v="0"/>
    <x v="8"/>
    <n v="1050.625"/>
    <n v="4.21"/>
    <n v="8.8000000000000007"/>
    <n v="86.2"/>
    <n v="95"/>
    <n v="8.7550000000000008"/>
  </r>
  <r>
    <x v="0"/>
    <x v="9"/>
    <n v="1048.3399999999999"/>
    <n v="5.91"/>
    <n v="8.8000000000000007"/>
    <n v="95.9"/>
    <n v="104.7"/>
    <n v="8.7460000000000004"/>
  </r>
  <r>
    <x v="1"/>
    <x v="0"/>
    <n v="743.42"/>
    <n v="4.915"/>
    <n v="5.4"/>
    <n v="105.9"/>
    <n v="111.3"/>
    <n v="5.7610000000000001"/>
  </r>
  <r>
    <x v="1"/>
    <x v="1"/>
    <n v="703.18"/>
    <n v="4.8550000000000004"/>
    <n v="5"/>
    <n v="112.5"/>
    <n v="117.5"/>
    <n v="5.0579999999999998"/>
  </r>
  <r>
    <x v="1"/>
    <x v="2"/>
    <n v="670.33500000000004"/>
    <n v="5.0750000000000002"/>
    <n v="4.7"/>
    <n v="118.6"/>
    <n v="123.3"/>
    <n v="4.8259999999999996"/>
  </r>
  <r>
    <x v="1"/>
    <x v="3"/>
    <n v="676.29499999999996"/>
    <n v="4.82"/>
    <n v="4.7"/>
    <n v="124.4"/>
    <n v="129.1"/>
    <n v="4.7060000000000004"/>
  </r>
  <r>
    <x v="1"/>
    <x v="4"/>
    <n v="662.24"/>
    <n v="5.5350000000000001"/>
    <n v="4.5999999999999996"/>
    <n v="130.1"/>
    <n v="134.69999999999999"/>
    <n v="4.6360000000000001"/>
  </r>
  <r>
    <x v="1"/>
    <x v="5"/>
    <n v="652.28499999999997"/>
    <n v="5.4249999999999998"/>
    <n v="4.5"/>
    <n v="135.80000000000001"/>
    <n v="140.30000000000001"/>
    <n v="4.593"/>
  </r>
  <r>
    <x v="1"/>
    <x v="6"/>
    <n v="651.58000000000004"/>
    <n v="4.78"/>
    <n v="4.5"/>
    <n v="141.4"/>
    <n v="145.9"/>
    <n v="4.5620000000000003"/>
  </r>
  <r>
    <x v="1"/>
    <x v="7"/>
    <n v="651.72"/>
    <n v="5.0750000000000002"/>
    <n v="4.5"/>
    <n v="146.9"/>
    <n v="151.4"/>
    <n v="4.5439999999999996"/>
  </r>
  <r>
    <x v="1"/>
    <x v="8"/>
    <n v="649.97500000000002"/>
    <n v="4.4950000000000001"/>
    <n v="4.5"/>
    <n v="152.5"/>
    <n v="157"/>
    <n v="4.53"/>
  </r>
  <r>
    <x v="1"/>
    <x v="9"/>
    <n v="648.62"/>
    <n v="5.45"/>
    <n v="4.5"/>
    <n v="158"/>
    <n v="162.5"/>
    <n v="4.5179999999999998"/>
  </r>
  <r>
    <x v="2"/>
    <x v="0"/>
    <n v="656.03"/>
    <n v="5.0549999999999997"/>
    <n v="4.4000000000000004"/>
    <n v="163.6"/>
    <n v="168"/>
    <n v="4.6479999999999997"/>
  </r>
  <r>
    <x v="2"/>
    <x v="1"/>
    <n v="583.92499999999995"/>
    <n v="5.12"/>
    <n v="3.7"/>
    <n v="169.2"/>
    <n v="172.9"/>
    <n v="3.7850000000000001"/>
  </r>
  <r>
    <x v="2"/>
    <x v="2"/>
    <n v="563.82500000000005"/>
    <n v="5.3250000000000002"/>
    <n v="3.4"/>
    <n v="174"/>
    <n v="177.4"/>
    <n v="3.4990000000000001"/>
  </r>
  <r>
    <x v="2"/>
    <x v="3"/>
    <n v="545.4"/>
    <n v="4.6950000000000003"/>
    <n v="3.3"/>
    <n v="178.5"/>
    <n v="181.8"/>
    <n v="3.3540000000000001"/>
  </r>
  <r>
    <x v="2"/>
    <x v="4"/>
    <n v="551.66"/>
    <n v="4.57"/>
    <n v="3.3"/>
    <n v="182.8"/>
    <n v="186.1"/>
    <n v="3.2730000000000001"/>
  </r>
  <r>
    <x v="2"/>
    <x v="5"/>
    <n v="553.13499999999999"/>
    <n v="5.2750000000000004"/>
    <n v="3.2"/>
    <n v="187.1"/>
    <n v="190.3"/>
    <n v="3.222"/>
  </r>
  <r>
    <x v="2"/>
    <x v="6"/>
    <n v="534.17499999999995"/>
    <n v="4.46"/>
    <n v="3.1"/>
    <n v="191.4"/>
    <n v="194.5"/>
    <n v="3.1840000000000002"/>
  </r>
  <r>
    <x v="2"/>
    <x v="7"/>
    <n v="550.08000000000004"/>
    <n v="5.6150000000000002"/>
    <n v="3.2"/>
    <n v="195.5"/>
    <n v="198.7"/>
    <n v="3.16"/>
  </r>
  <r>
    <x v="2"/>
    <x v="8"/>
    <n v="529.25"/>
    <n v="3.9750000000000001"/>
    <n v="3.1"/>
    <n v="199.8"/>
    <n v="202.9"/>
    <n v="3.1429999999999998"/>
  </r>
  <r>
    <x v="2"/>
    <x v="9"/>
    <n v="555.21"/>
    <n v="5.37"/>
    <n v="3.2"/>
    <n v="203.8"/>
    <n v="207"/>
    <n v="3.1280000000000001"/>
  </r>
  <r>
    <x v="3"/>
    <x v="0"/>
    <n v="620.88"/>
    <n v="4.97"/>
    <n v="4"/>
    <n v="208.1"/>
    <n v="212.1"/>
    <n v="4.2050000000000001"/>
  </r>
  <r>
    <x v="3"/>
    <x v="1"/>
    <n v="546.66499999999996"/>
    <n v="4.8449999999999998"/>
    <n v="3.1"/>
    <n v="213.3"/>
    <n v="216.4"/>
    <n v="3.2050000000000001"/>
  </r>
  <r>
    <x v="3"/>
    <x v="2"/>
    <n v="519.40499999999997"/>
    <n v="5.0999999999999996"/>
    <n v="2.8"/>
    <n v="217.5"/>
    <n v="220.3"/>
    <n v="2.879"/>
  </r>
  <r>
    <x v="3"/>
    <x v="3"/>
    <n v="502.05500000000001"/>
    <n v="5.4950000000000001"/>
    <n v="2.7"/>
    <n v="221.3"/>
    <n v="224"/>
    <n v="2.7050000000000001"/>
  </r>
  <r>
    <x v="3"/>
    <x v="4"/>
    <n v="500.8"/>
    <n v="4.74"/>
    <n v="2.6"/>
    <n v="225.1"/>
    <n v="227.7"/>
    <n v="2.613"/>
  </r>
  <r>
    <x v="3"/>
    <x v="5"/>
    <n v="489.80500000000001"/>
    <n v="5.2"/>
    <n v="2.5"/>
    <n v="228.7"/>
    <n v="231.2"/>
    <n v="2.552"/>
  </r>
  <r>
    <x v="3"/>
    <x v="6"/>
    <n v="469.005"/>
    <n v="5.3550000000000004"/>
    <n v="2.4"/>
    <n v="232.3"/>
    <n v="234.7"/>
    <n v="2.5089999999999999"/>
  </r>
  <r>
    <x v="3"/>
    <x v="7"/>
    <n v="473.73"/>
    <n v="4.4050000000000002"/>
    <n v="2.4"/>
    <n v="235.8"/>
    <n v="238.2"/>
    <n v="2.4849999999999999"/>
  </r>
  <r>
    <x v="3"/>
    <x v="8"/>
    <n v="488.1"/>
    <n v="4.7350000000000003"/>
    <n v="2.5"/>
    <n v="239.2"/>
    <n v="241.7"/>
    <n v="2.4630000000000001"/>
  </r>
  <r>
    <x v="3"/>
    <x v="9"/>
    <n v="514.22500000000002"/>
    <n v="5.415"/>
    <n v="2.5"/>
    <n v="242.7"/>
    <n v="245.2"/>
    <n v="2.4460000000000002"/>
  </r>
  <r>
    <x v="4"/>
    <x v="0"/>
    <n v="596.72500000000002"/>
    <n v="5.3250000000000002"/>
    <n v="3.7"/>
    <n v="246.3"/>
    <n v="250"/>
    <n v="3.9769999999999999"/>
  </r>
  <r>
    <x v="4"/>
    <x v="1"/>
    <n v="521.42999999999995"/>
    <n v="4.92"/>
    <n v="2.7"/>
    <n v="251.3"/>
    <n v="254"/>
    <n v="2.8940000000000001"/>
  </r>
  <r>
    <x v="4"/>
    <x v="2"/>
    <n v="496.82"/>
    <n v="5.18"/>
    <n v="2.4"/>
    <n v="255.1"/>
    <n v="257.5"/>
    <n v="2.5230000000000001"/>
  </r>
  <r>
    <x v="4"/>
    <x v="3"/>
    <n v="498.45499999999998"/>
    <n v="5.4450000000000003"/>
    <n v="2.2999999999999998"/>
    <n v="258.60000000000002"/>
    <n v="260.89999999999998"/>
    <n v="2.339"/>
  </r>
  <r>
    <x v="4"/>
    <x v="4"/>
    <n v="488.54500000000002"/>
    <n v="4.7549999999999999"/>
    <n v="2.2000000000000002"/>
    <n v="262"/>
    <n v="264.2"/>
    <n v="2.23"/>
  </r>
  <r>
    <x v="4"/>
    <x v="5"/>
    <n v="490.7"/>
    <n v="4.72"/>
    <n v="2.2000000000000002"/>
    <n v="265.2"/>
    <n v="267.39999999999998"/>
    <n v="2.165"/>
  </r>
  <r>
    <x v="4"/>
    <x v="6"/>
    <n v="484.76"/>
    <n v="4.93"/>
    <n v="2.1"/>
    <n v="268.39999999999998"/>
    <n v="270.5"/>
    <n v="2.117"/>
  </r>
  <r>
    <x v="4"/>
    <x v="7"/>
    <n v="476.28"/>
    <n v="5.125"/>
    <n v="2"/>
    <n v="271.5"/>
    <n v="273.5"/>
    <n v="2.0880000000000001"/>
  </r>
  <r>
    <x v="4"/>
    <x v="8"/>
    <n v="473.02"/>
    <n v="5.085"/>
    <n v="2"/>
    <n v="274.60000000000002"/>
    <n v="276.60000000000002"/>
    <n v="2.0659999999999998"/>
  </r>
  <r>
    <x v="4"/>
    <x v="9"/>
    <n v="476.62"/>
    <n v="5.8650000000000002"/>
    <n v="2"/>
    <n v="277.7"/>
    <n v="279.7"/>
    <n v="2.0419999999999998"/>
  </r>
  <r>
    <x v="5"/>
    <x v="0"/>
    <n v="587.86"/>
    <n v="4.9649999999999999"/>
    <n v="3.5"/>
    <n v="280.89999999999998"/>
    <n v="284.39999999999998"/>
    <n v="3.802"/>
  </r>
  <r>
    <x v="5"/>
    <x v="1"/>
    <n v="533.71"/>
    <n v="5.0449999999999999"/>
    <n v="2.6"/>
    <n v="285.60000000000002"/>
    <n v="288.2"/>
    <n v="2.7170000000000001"/>
  </r>
  <r>
    <x v="5"/>
    <x v="2"/>
    <n v="511.73500000000001"/>
    <n v="4.8250000000000002"/>
    <n v="2.2999999999999998"/>
    <n v="289.3"/>
    <n v="291.60000000000002"/>
    <n v="2.3119999999999998"/>
  </r>
  <r>
    <x v="5"/>
    <x v="3"/>
    <n v="498.52499999999998"/>
    <n v="4.5549999999999997"/>
    <n v="2.1"/>
    <n v="292.60000000000002"/>
    <n v="294.7"/>
    <n v="2.105"/>
  </r>
  <r>
    <x v="5"/>
    <x v="4"/>
    <n v="471.39"/>
    <n v="5.16"/>
    <n v="2"/>
    <n v="295.7"/>
    <n v="297.7"/>
    <n v="1.9890000000000001"/>
  </r>
  <r>
    <x v="5"/>
    <x v="5"/>
    <n v="481.95499999999998"/>
    <n v="4.7699999999999996"/>
    <n v="1.8"/>
    <n v="298.8"/>
    <n v="300.60000000000002"/>
    <n v="1.915"/>
  </r>
  <r>
    <x v="5"/>
    <x v="6"/>
    <n v="446.3"/>
    <n v="5.44"/>
    <n v="1.8"/>
    <n v="301.60000000000002"/>
    <n v="303.39999999999998"/>
    <n v="1.865"/>
  </r>
  <r>
    <x v="5"/>
    <x v="7"/>
    <n v="439.54500000000002"/>
    <n v="4.7949999999999999"/>
    <n v="1.8"/>
    <n v="304.5"/>
    <n v="306.3"/>
    <n v="1.829"/>
  </r>
  <r>
    <x v="5"/>
    <x v="8"/>
    <n v="446.935"/>
    <n v="5.31"/>
    <n v="1.8"/>
    <n v="307.3"/>
    <n v="309.10000000000002"/>
    <n v="1.8029999999999999"/>
  </r>
  <r>
    <x v="5"/>
    <x v="9"/>
    <n v="432.5"/>
    <n v="6.39"/>
    <n v="1.7"/>
    <n v="310.2"/>
    <n v="311.89999999999998"/>
    <n v="1.7829999999999999"/>
  </r>
  <r>
    <x v="6"/>
    <x v="0"/>
    <n v="565.58500000000004"/>
    <n v="5.0599999999999996"/>
    <n v="3.4"/>
    <n v="313.10000000000002"/>
    <n v="316.5"/>
    <n v="3.661"/>
  </r>
  <r>
    <x v="6"/>
    <x v="1"/>
    <n v="504.255"/>
    <n v="4.4800000000000004"/>
    <n v="2.5"/>
    <n v="317.7"/>
    <n v="320.2"/>
    <n v="2.6110000000000002"/>
  </r>
  <r>
    <x v="6"/>
    <x v="2"/>
    <n v="482.30500000000001"/>
    <n v="5.2149999999999999"/>
    <n v="2.1"/>
    <n v="321.3"/>
    <n v="323.39999999999998"/>
    <n v="2.173"/>
  </r>
  <r>
    <x v="6"/>
    <x v="3"/>
    <n v="466.29500000000002"/>
    <n v="5.1550000000000002"/>
    <n v="1.8"/>
    <n v="324.5"/>
    <n v="326.3"/>
    <n v="1.9510000000000001"/>
  </r>
  <r>
    <x v="6"/>
    <x v="4"/>
    <n v="469.47"/>
    <n v="4.5549999999999997"/>
    <n v="1.7"/>
    <n v="327.39999999999998"/>
    <n v="329.1"/>
    <n v="1.8280000000000001"/>
  </r>
  <r>
    <x v="6"/>
    <x v="5"/>
    <n v="475.79500000000002"/>
    <n v="5.19"/>
    <n v="1.7"/>
    <n v="330.2"/>
    <n v="331.9"/>
    <n v="1.744"/>
  </r>
  <r>
    <x v="6"/>
    <x v="6"/>
    <n v="465.45499999999998"/>
    <n v="5.12"/>
    <n v="1.6"/>
    <n v="333"/>
    <n v="334.6"/>
    <n v="1.6910000000000001"/>
  </r>
  <r>
    <x v="6"/>
    <x v="7"/>
    <n v="468.03500000000003"/>
    <n v="5.42"/>
    <n v="1.6"/>
    <n v="335.7"/>
    <n v="337.3"/>
    <n v="1.651"/>
  </r>
  <r>
    <x v="6"/>
    <x v="8"/>
    <n v="398.17500000000001"/>
    <n v="5.4950000000000001"/>
    <n v="1.5"/>
    <n v="338.4"/>
    <n v="339.9"/>
    <n v="1.621"/>
  </r>
  <r>
    <x v="6"/>
    <x v="9"/>
    <n v="471.78500000000003"/>
    <n v="6.9"/>
    <n v="1.6"/>
    <n v="340.9"/>
    <n v="342.5"/>
    <n v="1.601"/>
  </r>
  <r>
    <x v="7"/>
    <x v="0"/>
    <n v="553.16499999999996"/>
    <n v="4.9349999999999996"/>
    <n v="3.3"/>
    <n v="343.7"/>
    <n v="347"/>
    <n v="3.5419999999999998"/>
  </r>
  <r>
    <x v="7"/>
    <x v="1"/>
    <n v="498.55500000000001"/>
    <n v="4.79"/>
    <n v="2.4"/>
    <n v="348.2"/>
    <n v="350.6"/>
    <n v="2.5259999999999998"/>
  </r>
  <r>
    <x v="7"/>
    <x v="2"/>
    <n v="485.22500000000002"/>
    <n v="5.01"/>
    <n v="2"/>
    <n v="351.7"/>
    <n v="353.7"/>
    <n v="2.0779999999999998"/>
  </r>
  <r>
    <x v="7"/>
    <x v="3"/>
    <n v="456.1"/>
    <n v="4.665"/>
    <n v="1.7"/>
    <n v="354.8"/>
    <n v="356.5"/>
    <n v="1.841"/>
  </r>
  <r>
    <x v="7"/>
    <x v="4"/>
    <n v="464.03"/>
    <n v="4.16"/>
    <n v="1.7"/>
    <n v="357.6"/>
    <n v="359.3"/>
    <n v="1.7110000000000001"/>
  </r>
  <r>
    <x v="7"/>
    <x v="5"/>
    <n v="462.245"/>
    <n v="5.48"/>
    <n v="1.6"/>
    <n v="360.3"/>
    <n v="361.9"/>
    <n v="1.619"/>
  </r>
  <r>
    <x v="7"/>
    <x v="6"/>
    <n v="400.37"/>
    <n v="5.335"/>
    <n v="1.4"/>
    <n v="363"/>
    <n v="364.4"/>
    <n v="1.5649999999999999"/>
  </r>
  <r>
    <x v="7"/>
    <x v="7"/>
    <n v="459.70499999999998"/>
    <n v="6.09"/>
    <n v="1.5"/>
    <n v="365.5"/>
    <n v="367"/>
    <n v="1.524"/>
  </r>
  <r>
    <x v="7"/>
    <x v="8"/>
    <n v="438.93"/>
    <n v="6.1849999999999996"/>
    <n v="1.4"/>
    <n v="368.1"/>
    <n v="369.5"/>
    <n v="1.496"/>
  </r>
  <r>
    <x v="7"/>
    <x v="9"/>
    <n v="413.30500000000001"/>
    <n v="7.6"/>
    <n v="1.4"/>
    <n v="370.6"/>
    <n v="372"/>
    <n v="1.4690000000000001"/>
  </r>
  <r>
    <x v="8"/>
    <x v="0"/>
    <n v="537.25"/>
    <n v="4.8150000000000004"/>
    <n v="3.2"/>
    <n v="373.2"/>
    <n v="376.4"/>
    <n v="3.4449999999999998"/>
  </r>
  <r>
    <x v="8"/>
    <x v="1"/>
    <n v="478.935"/>
    <n v="4.9749999999999996"/>
    <n v="2.2999999999999998"/>
    <n v="377.6"/>
    <n v="379.9"/>
    <n v="2.4540000000000002"/>
  </r>
  <r>
    <x v="8"/>
    <x v="2"/>
    <n v="464.01"/>
    <n v="5.81"/>
    <n v="1.9"/>
    <n v="381"/>
    <n v="382.9"/>
    <n v="2.0129999999999999"/>
  </r>
  <r>
    <x v="8"/>
    <x v="3"/>
    <n v="446.36500000000001"/>
    <n v="5.2549999999999999"/>
    <n v="1.6"/>
    <n v="384.1"/>
    <n v="385.7"/>
    <n v="1.7649999999999999"/>
  </r>
  <r>
    <x v="8"/>
    <x v="4"/>
    <n v="425.935"/>
    <n v="5.22"/>
    <n v="1.5"/>
    <n v="386.8"/>
    <n v="388.3"/>
    <n v="1.6259999999999999"/>
  </r>
  <r>
    <x v="8"/>
    <x v="5"/>
    <n v="428.35500000000002"/>
    <n v="6.0750000000000002"/>
    <n v="1.4"/>
    <n v="389.4"/>
    <n v="390.8"/>
    <n v="1.5369999999999999"/>
  </r>
  <r>
    <x v="8"/>
    <x v="6"/>
    <n v="414.73500000000001"/>
    <n v="6.44"/>
    <n v="1.3"/>
    <n v="392"/>
    <n v="393.3"/>
    <n v="1.4710000000000001"/>
  </r>
  <r>
    <x v="8"/>
    <x v="7"/>
    <n v="410.33499999999998"/>
    <n v="6.5949999999999998"/>
    <n v="1.3"/>
    <n v="394.5"/>
    <n v="395.8"/>
    <n v="1.427"/>
  </r>
  <r>
    <x v="8"/>
    <x v="8"/>
    <n v="415.88499999999999"/>
    <n v="9.3149999999999995"/>
    <n v="1.3"/>
    <n v="396.9"/>
    <n v="398.2"/>
    <n v="1.393"/>
  </r>
  <r>
    <x v="8"/>
    <x v="9"/>
    <n v="423.01"/>
    <n v="10.125"/>
    <n v="1.3"/>
    <n v="399.3"/>
    <n v="400.6"/>
    <n v="1.363"/>
  </r>
  <r>
    <x v="9"/>
    <x v="0"/>
    <n v="521.65499999999997"/>
    <n v="4.4950000000000001"/>
    <n v="3.1"/>
    <n v="401.8"/>
    <n v="404.9"/>
    <n v="3.411"/>
  </r>
  <r>
    <x v="9"/>
    <x v="1"/>
    <n v="483.55500000000001"/>
    <n v="5.5"/>
    <n v="2.4"/>
    <n v="406.1"/>
    <n v="408.5"/>
    <n v="2.39"/>
  </r>
  <r>
    <x v="9"/>
    <x v="2"/>
    <n v="431.21"/>
    <n v="5.12"/>
    <n v="1.8"/>
    <n v="409.6"/>
    <n v="411.4"/>
    <n v="1.9650000000000001"/>
  </r>
  <r>
    <x v="9"/>
    <x v="3"/>
    <n v="423.78"/>
    <n v="5.22"/>
    <n v="1.6"/>
    <n v="412.5"/>
    <n v="414.1"/>
    <n v="1.7110000000000001"/>
  </r>
  <r>
    <x v="9"/>
    <x v="4"/>
    <n v="444.67500000000001"/>
    <n v="5.9749999999999996"/>
    <n v="1.4"/>
    <n v="415.2"/>
    <n v="416.6"/>
    <n v="1.5649999999999999"/>
  </r>
  <r>
    <x v="9"/>
    <x v="5"/>
    <n v="414.10500000000002"/>
    <n v="6.625"/>
    <n v="1.3"/>
    <n v="417.8"/>
    <n v="419.1"/>
    <n v="1.4650000000000001"/>
  </r>
  <r>
    <x v="9"/>
    <x v="6"/>
    <n v="404.31"/>
    <n v="7.06"/>
    <n v="1.2"/>
    <n v="420.3"/>
    <n v="421.5"/>
    <n v="1.399"/>
  </r>
  <r>
    <x v="9"/>
    <x v="7"/>
    <n v="418.77499999999998"/>
    <n v="8.76"/>
    <n v="1.2"/>
    <n v="422.7"/>
    <n v="423.9"/>
    <n v="1.351"/>
  </r>
  <r>
    <x v="9"/>
    <x v="8"/>
    <n v="430.78500000000003"/>
    <n v="11.585000000000001"/>
    <n v="1.2"/>
    <n v="425"/>
    <n v="426.2"/>
    <n v="1.3140000000000001"/>
  </r>
  <r>
    <x v="9"/>
    <x v="9"/>
    <n v="415.09"/>
    <n v="48.37"/>
    <n v="1.2"/>
    <n v="427.3"/>
    <n v="428.5"/>
    <n v="1.2869999999999999"/>
  </r>
  <r>
    <x v="10"/>
    <x v="10"/>
    <m/>
    <m/>
    <m/>
    <m/>
    <m/>
    <m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x v="0"/>
    <x v="0"/>
    <n v="1082.1949999999999"/>
    <n v="5.2549999999999999"/>
    <n v="9.1999999999999993"/>
    <n v="8"/>
    <n v="17.2"/>
    <n v="9.6329999999999991"/>
  </r>
  <r>
    <x v="0"/>
    <x v="1"/>
    <n v="1065.2249999999999"/>
    <n v="5.22"/>
    <n v="9"/>
    <n v="18.5"/>
    <n v="27.5"/>
    <n v="9.1379999999999999"/>
  </r>
  <r>
    <x v="0"/>
    <x v="2"/>
    <n v="1042.98"/>
    <n v="5.04"/>
    <n v="8.8000000000000007"/>
    <n v="28.7"/>
    <n v="37.5"/>
    <n v="8.9700000000000006"/>
  </r>
  <r>
    <x v="0"/>
    <x v="3"/>
    <n v="1045.1949999999999"/>
    <n v="4.8049999999999997"/>
    <n v="8.8000000000000007"/>
    <n v="38.6"/>
    <n v="47.4"/>
    <n v="8.8879999999999999"/>
  </r>
  <r>
    <x v="0"/>
    <x v="4"/>
    <n v="1045.73"/>
    <n v="5.6050000000000004"/>
    <n v="8.8000000000000007"/>
    <n v="48.5"/>
    <n v="57.3"/>
    <n v="8.8409999999999993"/>
  </r>
  <r>
    <x v="0"/>
    <x v="5"/>
    <n v="1032.7349999999999"/>
    <n v="5.0999999999999996"/>
    <n v="8.6999999999999993"/>
    <n v="58.4"/>
    <n v="67.099999999999994"/>
    <n v="8.7989999999999995"/>
  </r>
  <r>
    <x v="0"/>
    <x v="6"/>
    <n v="1041.2750000000001"/>
    <n v="5.1349999999999998"/>
    <n v="8.6999999999999993"/>
    <n v="68.2"/>
    <n v="76.900000000000006"/>
    <n v="8.7799999999999994"/>
  </r>
  <r>
    <x v="0"/>
    <x v="7"/>
    <n v="1041.98"/>
    <n v="5"/>
    <n v="8.6999999999999993"/>
    <n v="78"/>
    <n v="86.7"/>
    <n v="8.766"/>
  </r>
  <r>
    <x v="0"/>
    <x v="8"/>
    <n v="1050.9949999999999"/>
    <n v="4.8949999999999996"/>
    <n v="8.8000000000000007"/>
    <n v="87.7"/>
    <n v="96.5"/>
    <n v="8.7539999999999996"/>
  </r>
  <r>
    <x v="0"/>
    <x v="9"/>
    <n v="1048.3"/>
    <n v="6.085"/>
    <n v="8.8000000000000007"/>
    <n v="97.5"/>
    <n v="106.3"/>
    <n v="8.7460000000000004"/>
  </r>
  <r>
    <x v="1"/>
    <x v="0"/>
    <n v="727.495"/>
    <n v="5"/>
    <n v="5.3"/>
    <n v="107.5"/>
    <n v="112.8"/>
    <n v="5.7610000000000001"/>
  </r>
  <r>
    <x v="1"/>
    <x v="1"/>
    <n v="688.74"/>
    <n v="4.59"/>
    <n v="4.9000000000000004"/>
    <n v="114.1"/>
    <n v="119"/>
    <n v="5.0579999999999998"/>
  </r>
  <r>
    <x v="1"/>
    <x v="2"/>
    <n v="669.19500000000005"/>
    <n v="4.8099999999999996"/>
    <n v="4.7"/>
    <n v="120.1"/>
    <n v="124.8"/>
    <n v="4.8220000000000001"/>
  </r>
  <r>
    <x v="1"/>
    <x v="3"/>
    <n v="672.16499999999996"/>
    <n v="4.79"/>
    <n v="4.7"/>
    <n v="125.9"/>
    <n v="130.6"/>
    <n v="4.7080000000000002"/>
  </r>
  <r>
    <x v="1"/>
    <x v="4"/>
    <n v="674.13"/>
    <n v="5.28"/>
    <n v="4.7"/>
    <n v="131.6"/>
    <n v="136.30000000000001"/>
    <n v="4.6340000000000003"/>
  </r>
  <r>
    <x v="1"/>
    <x v="5"/>
    <n v="663.98"/>
    <n v="5.03"/>
    <n v="4.5999999999999996"/>
    <n v="137.30000000000001"/>
    <n v="141.9"/>
    <n v="4.5960000000000001"/>
  </r>
  <r>
    <x v="1"/>
    <x v="6"/>
    <n v="664.66"/>
    <n v="5.23"/>
    <n v="4.5999999999999996"/>
    <n v="142.9"/>
    <n v="147.5"/>
    <n v="4.5620000000000003"/>
  </r>
  <r>
    <x v="1"/>
    <x v="7"/>
    <n v="654.125"/>
    <n v="4.3099999999999996"/>
    <n v="4.5"/>
    <n v="148.5"/>
    <n v="153"/>
    <n v="4.54"/>
  </r>
  <r>
    <x v="1"/>
    <x v="8"/>
    <n v="656.82"/>
    <n v="4.7850000000000001"/>
    <n v="4.5"/>
    <n v="154"/>
    <n v="158.5"/>
    <n v="4.53"/>
  </r>
  <r>
    <x v="1"/>
    <x v="9"/>
    <n v="665.88"/>
    <n v="5.23"/>
    <n v="4.5999999999999996"/>
    <n v="159.5"/>
    <n v="164.1"/>
    <n v="4.5179999999999998"/>
  </r>
  <r>
    <x v="2"/>
    <x v="0"/>
    <n v="647.43499999999995"/>
    <n v="4.63"/>
    <n v="4.3"/>
    <n v="165.2"/>
    <n v="169.5"/>
    <n v="4.6479999999999997"/>
  </r>
  <r>
    <x v="2"/>
    <x v="1"/>
    <n v="585.1"/>
    <n v="5.09"/>
    <n v="3.6"/>
    <n v="170.8"/>
    <n v="174.4"/>
    <n v="3.7850000000000001"/>
  </r>
  <r>
    <x v="2"/>
    <x v="2"/>
    <n v="558.73500000000001"/>
    <n v="5.4249999999999998"/>
    <n v="3.4"/>
    <n v="175.6"/>
    <n v="179"/>
    <n v="3.4969999999999999"/>
  </r>
  <r>
    <x v="2"/>
    <x v="3"/>
    <n v="550.54"/>
    <n v="5.0250000000000004"/>
    <n v="3.3"/>
    <n v="180.1"/>
    <n v="183.4"/>
    <n v="3.3559999999999999"/>
  </r>
  <r>
    <x v="2"/>
    <x v="4"/>
    <n v="536.25"/>
    <n v="5.4349999999999996"/>
    <n v="3.2"/>
    <n v="184.4"/>
    <n v="187.6"/>
    <n v="3.2730000000000001"/>
  </r>
  <r>
    <x v="2"/>
    <x v="5"/>
    <n v="552.26"/>
    <n v="5.34"/>
    <n v="3.2"/>
    <n v="188.7"/>
    <n v="191.9"/>
    <n v="3.2210000000000001"/>
  </r>
  <r>
    <x v="2"/>
    <x v="6"/>
    <n v="528.30999999999995"/>
    <n v="4.6150000000000002"/>
    <n v="3.1"/>
    <n v="193"/>
    <n v="196.1"/>
    <n v="3.1859999999999999"/>
  </r>
  <r>
    <x v="2"/>
    <x v="7"/>
    <n v="554.40499999999997"/>
    <n v="5.0650000000000004"/>
    <n v="3.2"/>
    <n v="197.1"/>
    <n v="200.3"/>
    <n v="3.161"/>
  </r>
  <r>
    <x v="2"/>
    <x v="8"/>
    <n v="526.91"/>
    <n v="4.0049999999999999"/>
    <n v="3.1"/>
    <n v="201.3"/>
    <n v="204.4"/>
    <n v="3.1419999999999999"/>
  </r>
  <r>
    <x v="2"/>
    <x v="9"/>
    <n v="553.125"/>
    <n v="5.6050000000000004"/>
    <n v="3.2"/>
    <n v="205.4"/>
    <n v="208.6"/>
    <n v="3.13"/>
  </r>
  <r>
    <x v="3"/>
    <x v="0"/>
    <n v="612.58500000000004"/>
    <n v="4.8849999999999998"/>
    <n v="3.9"/>
    <n v="209.7"/>
    <n v="213.6"/>
    <n v="4.2050000000000001"/>
  </r>
  <r>
    <x v="3"/>
    <x v="1"/>
    <n v="537.35"/>
    <n v="4.7050000000000001"/>
    <n v="3"/>
    <n v="214.9"/>
    <n v="217.9"/>
    <n v="3.2090000000000001"/>
  </r>
  <r>
    <x v="3"/>
    <x v="2"/>
    <n v="518.12"/>
    <n v="4.95"/>
    <n v="2.8"/>
    <n v="219"/>
    <n v="221.8"/>
    <n v="2.8740000000000001"/>
  </r>
  <r>
    <x v="3"/>
    <x v="3"/>
    <n v="515.81500000000005"/>
    <n v="4.9349999999999996"/>
    <n v="2.7"/>
    <n v="222.9"/>
    <n v="225.6"/>
    <n v="2.71"/>
  </r>
  <r>
    <x v="3"/>
    <x v="4"/>
    <n v="492.55500000000001"/>
    <n v="5.085"/>
    <n v="2.6"/>
    <n v="226.6"/>
    <n v="229.2"/>
    <n v="2.6120000000000001"/>
  </r>
  <r>
    <x v="3"/>
    <x v="5"/>
    <n v="482.685"/>
    <n v="4.9050000000000002"/>
    <n v="2.5"/>
    <n v="230.2"/>
    <n v="232.7"/>
    <n v="2.5499999999999998"/>
  </r>
  <r>
    <x v="3"/>
    <x v="6"/>
    <n v="482.65499999999997"/>
    <n v="5.0750000000000002"/>
    <n v="2.4"/>
    <n v="233.8"/>
    <n v="236.2"/>
    <n v="2.5089999999999999"/>
  </r>
  <r>
    <x v="3"/>
    <x v="7"/>
    <n v="508.71"/>
    <n v="4.8"/>
    <n v="2.5"/>
    <n v="237.3"/>
    <n v="239.8"/>
    <n v="2.484"/>
  </r>
  <r>
    <x v="3"/>
    <x v="8"/>
    <n v="482.36"/>
    <n v="4.66"/>
    <n v="2.5"/>
    <n v="240.8"/>
    <n v="243.3"/>
    <n v="2.4649999999999999"/>
  </r>
  <r>
    <x v="3"/>
    <x v="9"/>
    <n v="476.22500000000002"/>
    <n v="5.7949999999999999"/>
    <n v="2.4"/>
    <n v="244.3"/>
    <n v="246.7"/>
    <n v="2.4449999999999998"/>
  </r>
  <r>
    <x v="4"/>
    <x v="0"/>
    <n v="591.15499999999997"/>
    <n v="4.7149999999999999"/>
    <n v="3.7"/>
    <n v="247.9"/>
    <n v="251.6"/>
    <n v="3.9769999999999999"/>
  </r>
  <r>
    <x v="4"/>
    <x v="1"/>
    <n v="519.57000000000005"/>
    <n v="5.45"/>
    <n v="2.8"/>
    <n v="252.8"/>
    <n v="255.6"/>
    <n v="2.9"/>
  </r>
  <r>
    <x v="4"/>
    <x v="2"/>
    <n v="498.27499999999998"/>
    <n v="5.15"/>
    <n v="2.4"/>
    <n v="256.7"/>
    <n v="259.10000000000002"/>
    <n v="2.5259999999999998"/>
  </r>
  <r>
    <x v="4"/>
    <x v="3"/>
    <n v="493.32499999999999"/>
    <n v="5.17"/>
    <n v="2.2999999999999998"/>
    <n v="260.2"/>
    <n v="262.5"/>
    <n v="2.34"/>
  </r>
  <r>
    <x v="4"/>
    <x v="4"/>
    <n v="489.61500000000001"/>
    <n v="4.91"/>
    <n v="2.2000000000000002"/>
    <n v="263.60000000000002"/>
    <n v="265.8"/>
    <n v="2.2309999999999999"/>
  </r>
  <r>
    <x v="4"/>
    <x v="5"/>
    <n v="481.62"/>
    <n v="5.61"/>
    <n v="2.1"/>
    <n v="266.8"/>
    <n v="268.89999999999998"/>
    <n v="2.165"/>
  </r>
  <r>
    <x v="4"/>
    <x v="6"/>
    <n v="473.29"/>
    <n v="5.3049999999999997"/>
    <n v="2"/>
    <n v="270"/>
    <n v="272"/>
    <n v="2.117"/>
  </r>
  <r>
    <x v="4"/>
    <x v="7"/>
    <n v="473.89"/>
    <n v="4.5"/>
    <n v="2"/>
    <n v="273.10000000000002"/>
    <n v="275.10000000000002"/>
    <n v="2.09"/>
  </r>
  <r>
    <x v="4"/>
    <x v="8"/>
    <n v="484.67"/>
    <n v="5.0449999999999999"/>
    <n v="2.1"/>
    <n v="276.10000000000002"/>
    <n v="278.2"/>
    <n v="2.0619999999999998"/>
  </r>
  <r>
    <x v="4"/>
    <x v="9"/>
    <n v="487.23500000000001"/>
    <n v="5.4649999999999999"/>
    <n v="2.1"/>
    <n v="279.2"/>
    <n v="281.3"/>
    <n v="2.0430000000000001"/>
  </r>
  <r>
    <x v="5"/>
    <x v="0"/>
    <n v="603.4"/>
    <n v="4.8150000000000004"/>
    <n v="3.7"/>
    <n v="282.39999999999998"/>
    <n v="286.10000000000002"/>
    <n v="3.8010000000000002"/>
  </r>
  <r>
    <x v="5"/>
    <x v="1"/>
    <n v="517.48"/>
    <n v="4.2699999999999996"/>
    <n v="2.5"/>
    <n v="287.2"/>
    <n v="289.7"/>
    <n v="2.718"/>
  </r>
  <r>
    <x v="5"/>
    <x v="2"/>
    <n v="506.15"/>
    <n v="5.4349999999999996"/>
    <n v="2.2999999999999998"/>
    <n v="290.8"/>
    <n v="293.10000000000002"/>
    <n v="2.31"/>
  </r>
  <r>
    <x v="5"/>
    <x v="3"/>
    <n v="483.46499999999997"/>
    <n v="4.8"/>
    <n v="2"/>
    <n v="294.2"/>
    <n v="296.2"/>
    <n v="2.105"/>
  </r>
  <r>
    <x v="5"/>
    <x v="4"/>
    <n v="460.55500000000001"/>
    <n v="5.0949999999999998"/>
    <n v="2"/>
    <n v="297.3"/>
    <n v="299.3"/>
    <n v="1.9870000000000001"/>
  </r>
  <r>
    <x v="5"/>
    <x v="5"/>
    <n v="470.78"/>
    <n v="5.23"/>
    <n v="1.8"/>
    <n v="300.3"/>
    <n v="302.10000000000002"/>
    <n v="1.915"/>
  </r>
  <r>
    <x v="5"/>
    <x v="6"/>
    <n v="473.35500000000002"/>
    <n v="4.7300000000000004"/>
    <n v="1.8"/>
    <n v="303.2"/>
    <n v="305"/>
    <n v="1.865"/>
  </r>
  <r>
    <x v="5"/>
    <x v="7"/>
    <n v="457.1"/>
    <n v="5.61"/>
    <n v="1.8"/>
    <n v="306"/>
    <n v="307.8"/>
    <n v="1.829"/>
  </r>
  <r>
    <x v="5"/>
    <x v="8"/>
    <n v="438.91500000000002"/>
    <n v="6"/>
    <n v="1.7"/>
    <n v="308.89999999999998"/>
    <n v="310.60000000000002"/>
    <n v="1.8029999999999999"/>
  </r>
  <r>
    <x v="5"/>
    <x v="9"/>
    <n v="436.64499999999998"/>
    <n v="7.92"/>
    <n v="1.7"/>
    <n v="311.7"/>
    <n v="313.39999999999998"/>
    <n v="1.7829999999999999"/>
  </r>
  <r>
    <x v="6"/>
    <x v="0"/>
    <n v="565.99"/>
    <n v="4.54"/>
    <n v="3.4"/>
    <n v="314.7"/>
    <n v="318.10000000000002"/>
    <n v="3.661"/>
  </r>
  <r>
    <x v="6"/>
    <x v="1"/>
    <n v="509.98500000000001"/>
    <n v="4.8949999999999996"/>
    <n v="2.5"/>
    <n v="319.2"/>
    <n v="321.7"/>
    <n v="2.6120000000000001"/>
  </r>
  <r>
    <x v="6"/>
    <x v="2"/>
    <n v="484.29"/>
    <n v="5.585"/>
    <n v="2.1"/>
    <n v="322.8"/>
    <n v="324.89999999999998"/>
    <n v="2.17"/>
  </r>
  <r>
    <x v="6"/>
    <x v="3"/>
    <n v="466.07"/>
    <n v="5.3449999999999998"/>
    <n v="1.9"/>
    <n v="326"/>
    <n v="327.9"/>
    <n v="1.9490000000000001"/>
  </r>
  <r>
    <x v="6"/>
    <x v="4"/>
    <n v="413.99"/>
    <n v="5.0999999999999996"/>
    <n v="1.7"/>
    <n v="329"/>
    <n v="330.7"/>
    <n v="1.825"/>
  </r>
  <r>
    <x v="6"/>
    <x v="5"/>
    <n v="396.315"/>
    <n v="5.5650000000000004"/>
    <n v="1.6"/>
    <n v="331.8"/>
    <n v="333.4"/>
    <n v="1.7450000000000001"/>
  </r>
  <r>
    <x v="6"/>
    <x v="6"/>
    <n v="432.90499999999997"/>
    <n v="5.165"/>
    <n v="1.6"/>
    <n v="334.5"/>
    <n v="336.1"/>
    <n v="1.694"/>
  </r>
  <r>
    <x v="6"/>
    <x v="7"/>
    <n v="465.47"/>
    <n v="5.46"/>
    <n v="1.6"/>
    <n v="337.2"/>
    <n v="338.8"/>
    <n v="1.651"/>
  </r>
  <r>
    <x v="6"/>
    <x v="8"/>
    <n v="404.86"/>
    <n v="6.8150000000000004"/>
    <n v="1.5"/>
    <n v="339.9"/>
    <n v="341.4"/>
    <n v="1.621"/>
  </r>
  <r>
    <x v="6"/>
    <x v="9"/>
    <n v="457.36500000000001"/>
    <n v="6.2750000000000004"/>
    <n v="1.6"/>
    <n v="342.5"/>
    <n v="344.1"/>
    <n v="1.6020000000000001"/>
  </r>
  <r>
    <x v="7"/>
    <x v="0"/>
    <n v="546.08000000000004"/>
    <n v="5.13"/>
    <n v="3.3"/>
    <n v="345.3"/>
    <n v="348.6"/>
    <n v="3.5409999999999999"/>
  </r>
  <r>
    <x v="7"/>
    <x v="1"/>
    <n v="495.815"/>
    <n v="5.1950000000000003"/>
    <n v="2.4"/>
    <n v="349.8"/>
    <n v="352.2"/>
    <n v="2.5259999999999998"/>
  </r>
  <r>
    <x v="7"/>
    <x v="2"/>
    <n v="465.90499999999997"/>
    <n v="5.39"/>
    <n v="1.9"/>
    <n v="353.3"/>
    <n v="355.2"/>
    <n v="2.077"/>
  </r>
  <r>
    <x v="7"/>
    <x v="3"/>
    <n v="449.56"/>
    <n v="5.27"/>
    <n v="1.8"/>
    <n v="356.3"/>
    <n v="358.1"/>
    <n v="1.841"/>
  </r>
  <r>
    <x v="7"/>
    <x v="4"/>
    <n v="445.96"/>
    <n v="5.44"/>
    <n v="1.6"/>
    <n v="359.2"/>
    <n v="360.8"/>
    <n v="1.71"/>
  </r>
  <r>
    <x v="7"/>
    <x v="5"/>
    <n v="445.53"/>
    <n v="5.9249999999999998"/>
    <n v="1.5"/>
    <n v="361.9"/>
    <n v="363.4"/>
    <n v="1.6240000000000001"/>
  </r>
  <r>
    <x v="7"/>
    <x v="6"/>
    <n v="416.26"/>
    <n v="5.5250000000000004"/>
    <n v="1.5"/>
    <n v="364.5"/>
    <n v="366"/>
    <n v="1.5649999999999999"/>
  </r>
  <r>
    <x v="7"/>
    <x v="7"/>
    <n v="433.685"/>
    <n v="7.19"/>
    <n v="1.4"/>
    <n v="367.1"/>
    <n v="368.5"/>
    <n v="1.5229999999999999"/>
  </r>
  <r>
    <x v="7"/>
    <x v="8"/>
    <n v="454.745"/>
    <n v="5.38"/>
    <n v="1.5"/>
    <n v="369.6"/>
    <n v="371.1"/>
    <n v="1.4970000000000001"/>
  </r>
  <r>
    <x v="7"/>
    <x v="9"/>
    <n v="418.63"/>
    <n v="6.35"/>
    <n v="1.5"/>
    <n v="372.1"/>
    <n v="373.6"/>
    <n v="1.4670000000000001"/>
  </r>
  <r>
    <x v="8"/>
    <x v="0"/>
    <n v="545.72"/>
    <n v="4.7350000000000003"/>
    <n v="3.3"/>
    <n v="374.7"/>
    <n v="378"/>
    <n v="3.4420000000000002"/>
  </r>
  <r>
    <x v="8"/>
    <x v="1"/>
    <n v="486.8"/>
    <n v="4.8550000000000004"/>
    <n v="2.4"/>
    <n v="379.1"/>
    <n v="381.5"/>
    <n v="2.452"/>
  </r>
  <r>
    <x v="8"/>
    <x v="2"/>
    <n v="444.56"/>
    <n v="5.42"/>
    <n v="1.9"/>
    <n v="382.6"/>
    <n v="384.5"/>
    <n v="2.0129999999999999"/>
  </r>
  <r>
    <x v="8"/>
    <x v="3"/>
    <n v="424.85"/>
    <n v="5.31"/>
    <n v="1.6"/>
    <n v="385.6"/>
    <n v="387.2"/>
    <n v="1.7649999999999999"/>
  </r>
  <r>
    <x v="8"/>
    <x v="4"/>
    <n v="441.21499999999997"/>
    <n v="5.22"/>
    <n v="1.6"/>
    <n v="388.3"/>
    <n v="389.9"/>
    <n v="1.629"/>
  </r>
  <r>
    <x v="8"/>
    <x v="5"/>
    <n v="425.01"/>
    <n v="6.4950000000000001"/>
    <n v="1.3"/>
    <n v="391"/>
    <n v="392.3"/>
    <n v="1.5289999999999999"/>
  </r>
  <r>
    <x v="8"/>
    <x v="6"/>
    <n v="425.86"/>
    <n v="8.4499999999999993"/>
    <n v="1.3"/>
    <n v="393.5"/>
    <n v="394.8"/>
    <n v="1.4690000000000001"/>
  </r>
  <r>
    <x v="8"/>
    <x v="7"/>
    <n v="419.07499999999999"/>
    <n v="7.1"/>
    <n v="1.3"/>
    <n v="396"/>
    <n v="397.3"/>
    <n v="1.4279999999999999"/>
  </r>
  <r>
    <x v="8"/>
    <x v="8"/>
    <n v="418.315"/>
    <n v="9.4600000000000009"/>
    <n v="1.3"/>
    <n v="398.4"/>
    <n v="399.7"/>
    <n v="1.389"/>
  </r>
  <r>
    <x v="8"/>
    <x v="9"/>
    <n v="422.19"/>
    <n v="11.59"/>
    <n v="1.3"/>
    <n v="400.8"/>
    <n v="402.1"/>
    <n v="1.37"/>
  </r>
  <r>
    <x v="9"/>
    <x v="0"/>
    <n v="517.34500000000003"/>
    <n v="4.91"/>
    <n v="3.1"/>
    <n v="403.4"/>
    <n v="406.5"/>
    <n v="3.4089999999999998"/>
  </r>
  <r>
    <x v="9"/>
    <x v="1"/>
    <n v="469.565"/>
    <n v="4.78"/>
    <n v="2.2000000000000002"/>
    <n v="407.7"/>
    <n v="409.9"/>
    <n v="2.391"/>
  </r>
  <r>
    <x v="9"/>
    <x v="2"/>
    <n v="473.065"/>
    <n v="5.3049999999999997"/>
    <n v="2"/>
    <n v="411"/>
    <n v="413"/>
    <n v="1.9650000000000001"/>
  </r>
  <r>
    <x v="9"/>
    <x v="3"/>
    <n v="441.83499999999998"/>
    <n v="4.7350000000000003"/>
    <n v="1.5"/>
    <n v="414.1"/>
    <n v="415.6"/>
    <n v="1.7110000000000001"/>
  </r>
  <r>
    <x v="9"/>
    <x v="4"/>
    <n v="426.84"/>
    <n v="5.1050000000000004"/>
    <n v="1.5"/>
    <n v="416.7"/>
    <n v="418.2"/>
    <n v="1.5649999999999999"/>
  </r>
  <r>
    <x v="9"/>
    <x v="5"/>
    <n v="409.99"/>
    <n v="5.0250000000000004"/>
    <n v="1.4"/>
    <n v="419.3"/>
    <n v="420.7"/>
    <n v="1.468"/>
  </r>
  <r>
    <x v="9"/>
    <x v="6"/>
    <n v="409.32"/>
    <n v="6.335"/>
    <n v="1.3"/>
    <n v="421.8"/>
    <n v="423.1"/>
    <n v="1.397"/>
  </r>
  <r>
    <x v="9"/>
    <x v="7"/>
    <n v="407.77499999999998"/>
    <n v="8.5250000000000004"/>
    <n v="1.3"/>
    <n v="424.2"/>
    <n v="425.5"/>
    <n v="1.3540000000000001"/>
  </r>
  <r>
    <x v="9"/>
    <x v="8"/>
    <n v="421.32499999999999"/>
    <n v="11.145"/>
    <n v="1.2"/>
    <n v="426.6"/>
    <n v="427.8"/>
    <n v="1.3169999999999999"/>
  </r>
  <r>
    <x v="9"/>
    <x v="9"/>
    <n v="421.255"/>
    <n v="52.45"/>
    <n v="1.2"/>
    <n v="428.9"/>
    <n v="430.1"/>
    <n v="1.2869999999999999"/>
  </r>
  <r>
    <x v="10"/>
    <x v="10"/>
    <m/>
    <m/>
    <m/>
    <m/>
    <m/>
    <m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x v="0"/>
    <x v="0"/>
    <n v="1076.135"/>
    <n v="4.59"/>
    <n v="9.1999999999999993"/>
    <n v="4.8"/>
    <n v="14"/>
    <n v="9.6340000000000003"/>
  </r>
  <r>
    <x v="0"/>
    <x v="1"/>
    <n v="1070.2149999999999"/>
    <n v="4.8250000000000002"/>
    <n v="9.1"/>
    <n v="15.3"/>
    <n v="24.4"/>
    <n v="9.1419999999999995"/>
  </r>
  <r>
    <x v="0"/>
    <x v="2"/>
    <n v="1053.0999999999999"/>
    <n v="4.5449999999999999"/>
    <n v="8.9"/>
    <n v="25.5"/>
    <n v="34.4"/>
    <n v="8.9700000000000006"/>
  </r>
  <r>
    <x v="0"/>
    <x v="3"/>
    <n v="1052.635"/>
    <n v="4.87"/>
    <n v="8.9"/>
    <n v="35.4"/>
    <n v="44.3"/>
    <n v="8.8859999999999992"/>
  </r>
  <r>
    <x v="0"/>
    <x v="4"/>
    <n v="1042.2950000000001"/>
    <n v="4.5999999999999996"/>
    <n v="8.8000000000000007"/>
    <n v="45.3"/>
    <n v="54.1"/>
    <n v="8.8379999999999992"/>
  </r>
  <r>
    <x v="0"/>
    <x v="5"/>
    <n v="1055.58"/>
    <n v="4.6100000000000003"/>
    <n v="8.9"/>
    <n v="55.1"/>
    <n v="64"/>
    <n v="8.8019999999999996"/>
  </r>
  <r>
    <x v="0"/>
    <x v="6"/>
    <n v="1032.9349999999999"/>
    <n v="4.6950000000000003"/>
    <n v="8.6999999999999993"/>
    <n v="65"/>
    <n v="73.7"/>
    <n v="8.7780000000000005"/>
  </r>
  <r>
    <x v="0"/>
    <x v="7"/>
    <n v="1055.54"/>
    <n v="4.62"/>
    <n v="8.9"/>
    <n v="74.7"/>
    <n v="83.6"/>
    <n v="8.7720000000000002"/>
  </r>
  <r>
    <x v="0"/>
    <x v="8"/>
    <n v="1031.1849999999999"/>
    <n v="4.9249999999999998"/>
    <n v="8.6999999999999993"/>
    <n v="84.6"/>
    <n v="93.3"/>
    <n v="8.7590000000000003"/>
  </r>
  <r>
    <x v="0"/>
    <x v="9"/>
    <n v="1045.3050000000001"/>
    <n v="5.63"/>
    <n v="8.8000000000000007"/>
    <n v="94.3"/>
    <n v="103.1"/>
    <n v="8.7490000000000006"/>
  </r>
  <r>
    <x v="1"/>
    <x v="0"/>
    <n v="733.84"/>
    <n v="5.56"/>
    <n v="5.4"/>
    <n v="104.2"/>
    <n v="109.6"/>
    <n v="5.7640000000000002"/>
  </r>
  <r>
    <x v="1"/>
    <x v="1"/>
    <n v="676.24"/>
    <n v="5.6349999999999998"/>
    <n v="4.8"/>
    <n v="111"/>
    <n v="115.8"/>
    <n v="5.0549999999999997"/>
  </r>
  <r>
    <x v="1"/>
    <x v="2"/>
    <n v="662.75"/>
    <n v="5.71"/>
    <n v="4.7"/>
    <n v="117"/>
    <n v="121.7"/>
    <n v="4.82"/>
  </r>
  <r>
    <x v="1"/>
    <x v="3"/>
    <n v="656.14"/>
    <n v="5.43"/>
    <n v="4.5999999999999996"/>
    <n v="122.8"/>
    <n v="127.4"/>
    <n v="4.7060000000000004"/>
  </r>
  <r>
    <x v="1"/>
    <x v="4"/>
    <n v="652.97"/>
    <n v="4.875"/>
    <n v="4.5999999999999996"/>
    <n v="128.5"/>
    <n v="133.1"/>
    <n v="4.6349999999999998"/>
  </r>
  <r>
    <x v="1"/>
    <x v="5"/>
    <n v="652.52"/>
    <n v="4.8499999999999996"/>
    <n v="4.5999999999999996"/>
    <n v="134.1"/>
    <n v="138.69999999999999"/>
    <n v="4.5960000000000001"/>
  </r>
  <r>
    <x v="1"/>
    <x v="6"/>
    <n v="652.26"/>
    <n v="4.8150000000000004"/>
    <n v="4.5999999999999996"/>
    <n v="139.69999999999999"/>
    <n v="144.30000000000001"/>
    <n v="4.5640000000000001"/>
  </r>
  <r>
    <x v="1"/>
    <x v="7"/>
    <n v="652.78"/>
    <n v="4.2549999999999999"/>
    <n v="4.5999999999999996"/>
    <n v="145.30000000000001"/>
    <n v="149.9"/>
    <n v="4.5430000000000001"/>
  </r>
  <r>
    <x v="1"/>
    <x v="8"/>
    <n v="654.69500000000005"/>
    <n v="5.0599999999999996"/>
    <n v="4.5999999999999996"/>
    <n v="150.80000000000001"/>
    <n v="155.4"/>
    <n v="4.532"/>
  </r>
  <r>
    <x v="1"/>
    <x v="9"/>
    <n v="644.27"/>
    <n v="6.06"/>
    <n v="4.5"/>
    <n v="156.4"/>
    <n v="160.9"/>
    <n v="4.5179999999999998"/>
  </r>
  <r>
    <x v="2"/>
    <x v="0"/>
    <n v="627.45500000000004"/>
    <n v="5.03"/>
    <n v="4.2"/>
    <n v="162.1"/>
    <n v="166.3"/>
    <n v="4.6529999999999996"/>
  </r>
  <r>
    <x v="2"/>
    <x v="1"/>
    <n v="573.28499999999997"/>
    <n v="5.1449999999999996"/>
    <n v="3.6"/>
    <n v="167.7"/>
    <n v="171.3"/>
    <n v="3.7850000000000001"/>
  </r>
  <r>
    <x v="2"/>
    <x v="2"/>
    <n v="558.745"/>
    <n v="5.125"/>
    <n v="3.4"/>
    <n v="172.4"/>
    <n v="175.8"/>
    <n v="3.4980000000000002"/>
  </r>
  <r>
    <x v="2"/>
    <x v="3"/>
    <n v="552.39499999999998"/>
    <n v="5.0949999999999998"/>
    <n v="3.3"/>
    <n v="176.9"/>
    <n v="180.2"/>
    <n v="3.3580000000000001"/>
  </r>
  <r>
    <x v="2"/>
    <x v="4"/>
    <n v="538.67499999999995"/>
    <n v="4.875"/>
    <n v="3.2"/>
    <n v="181.3"/>
    <n v="184.5"/>
    <n v="3.2719999999999998"/>
  </r>
  <r>
    <x v="2"/>
    <x v="5"/>
    <n v="529.54499999999996"/>
    <n v="4.4050000000000002"/>
    <n v="3.2"/>
    <n v="185.5"/>
    <n v="188.7"/>
    <n v="3.2189999999999999"/>
  </r>
  <r>
    <x v="2"/>
    <x v="6"/>
    <n v="556.20500000000004"/>
    <n v="5.1150000000000002"/>
    <n v="3.3"/>
    <n v="189.7"/>
    <n v="193"/>
    <n v="3.1859999999999999"/>
  </r>
  <r>
    <x v="2"/>
    <x v="7"/>
    <n v="521.70500000000004"/>
    <n v="4.6050000000000004"/>
    <n v="3.1"/>
    <n v="194"/>
    <n v="197.1"/>
    <n v="3.1579999999999999"/>
  </r>
  <r>
    <x v="2"/>
    <x v="8"/>
    <n v="541.15"/>
    <n v="5.14"/>
    <n v="3.2"/>
    <n v="198.1"/>
    <n v="201.3"/>
    <n v="3.1429999999999998"/>
  </r>
  <r>
    <x v="2"/>
    <x v="9"/>
    <n v="532.75"/>
    <n v="5.7850000000000001"/>
    <n v="3.1"/>
    <n v="202.3"/>
    <n v="205.4"/>
    <n v="3.129"/>
  </r>
  <r>
    <x v="3"/>
    <x v="0"/>
    <n v="616.79499999999996"/>
    <n v="5.0350000000000001"/>
    <n v="4"/>
    <n v="206.5"/>
    <n v="210.5"/>
    <n v="4.2050000000000001"/>
  </r>
  <r>
    <x v="3"/>
    <x v="1"/>
    <n v="543.91999999999996"/>
    <n v="5.27"/>
    <n v="3.1"/>
    <n v="211.7"/>
    <n v="214.8"/>
    <n v="3.2069999999999999"/>
  </r>
  <r>
    <x v="3"/>
    <x v="2"/>
    <n v="506.78500000000003"/>
    <n v="4.9950000000000001"/>
    <n v="2.7"/>
    <n v="215.9"/>
    <n v="218.6"/>
    <n v="2.875"/>
  </r>
  <r>
    <x v="3"/>
    <x v="3"/>
    <n v="506.61"/>
    <n v="5.7050000000000001"/>
    <n v="2.7"/>
    <n v="219.7"/>
    <n v="222.4"/>
    <n v="2.706"/>
  </r>
  <r>
    <x v="3"/>
    <x v="4"/>
    <n v="473.39499999999998"/>
    <n v="5.27"/>
    <n v="2.5"/>
    <n v="223.5"/>
    <n v="226"/>
    <n v="2.61"/>
  </r>
  <r>
    <x v="3"/>
    <x v="5"/>
    <n v="477.41"/>
    <n v="4.8550000000000004"/>
    <n v="2.5"/>
    <n v="227.1"/>
    <n v="229.6"/>
    <n v="2.5499999999999998"/>
  </r>
  <r>
    <x v="3"/>
    <x v="6"/>
    <n v="486.07"/>
    <n v="5.01"/>
    <n v="2.5"/>
    <n v="230.6"/>
    <n v="233.1"/>
    <n v="2.5089999999999999"/>
  </r>
  <r>
    <x v="3"/>
    <x v="7"/>
    <n v="506.17"/>
    <n v="5.27"/>
    <n v="2.5"/>
    <n v="234.1"/>
    <n v="236.6"/>
    <n v="2.4820000000000002"/>
  </r>
  <r>
    <x v="3"/>
    <x v="8"/>
    <n v="477.18"/>
    <n v="5.12"/>
    <n v="2.4"/>
    <n v="237.7"/>
    <n v="240.1"/>
    <n v="2.4649999999999999"/>
  </r>
  <r>
    <x v="3"/>
    <x v="9"/>
    <n v="478.435"/>
    <n v="6.4"/>
    <n v="2.4"/>
    <n v="241.1"/>
    <n v="243.5"/>
    <n v="2.4500000000000002"/>
  </r>
  <r>
    <x v="4"/>
    <x v="0"/>
    <n v="600.755"/>
    <n v="5.2050000000000001"/>
    <n v="3.7"/>
    <n v="244.7"/>
    <n v="248.4"/>
    <n v="3.9769999999999999"/>
  </r>
  <r>
    <x v="4"/>
    <x v="1"/>
    <n v="525.08500000000004"/>
    <n v="4.9850000000000003"/>
    <n v="2.7"/>
    <n v="249.7"/>
    <n v="252.4"/>
    <n v="2.8940000000000001"/>
  </r>
  <r>
    <x v="4"/>
    <x v="2"/>
    <n v="503.495"/>
    <n v="4.84"/>
    <n v="2.4"/>
    <n v="253.5"/>
    <n v="255.9"/>
    <n v="2.524"/>
  </r>
  <r>
    <x v="4"/>
    <x v="3"/>
    <n v="496.65"/>
    <n v="5.6"/>
    <n v="2.2999999999999998"/>
    <n v="257"/>
    <n v="259.3"/>
    <n v="2.3370000000000002"/>
  </r>
  <r>
    <x v="4"/>
    <x v="4"/>
    <n v="489.27499999999998"/>
    <n v="4.6399999999999997"/>
    <n v="2.2000000000000002"/>
    <n v="260.39999999999998"/>
    <n v="262.60000000000002"/>
    <n v="2.2320000000000002"/>
  </r>
  <r>
    <x v="4"/>
    <x v="5"/>
    <n v="483.76"/>
    <n v="5.4450000000000003"/>
    <n v="2.1"/>
    <n v="263.60000000000002"/>
    <n v="265.7"/>
    <n v="2.1659999999999999"/>
  </r>
  <r>
    <x v="4"/>
    <x v="6"/>
    <n v="468.78500000000003"/>
    <n v="5.5"/>
    <n v="2"/>
    <n v="266.8"/>
    <n v="268.8"/>
    <n v="2.1190000000000002"/>
  </r>
  <r>
    <x v="4"/>
    <x v="7"/>
    <n v="465.44"/>
    <n v="4.72"/>
    <n v="2"/>
    <n v="269.89999999999998"/>
    <n v="271.89999999999998"/>
    <n v="2.0870000000000002"/>
  </r>
  <r>
    <x v="4"/>
    <x v="8"/>
    <n v="476.15499999999997"/>
    <n v="5.5350000000000001"/>
    <n v="2.1"/>
    <n v="272.89999999999998"/>
    <n v="275"/>
    <n v="2.0630000000000002"/>
  </r>
  <r>
    <x v="4"/>
    <x v="9"/>
    <n v="462.03"/>
    <n v="6.39"/>
    <n v="2"/>
    <n v="276.10000000000002"/>
    <n v="278.10000000000002"/>
    <n v="2.048"/>
  </r>
  <r>
    <x v="5"/>
    <x v="0"/>
    <n v="581.67499999999995"/>
    <n v="4.3650000000000002"/>
    <n v="3.5"/>
    <n v="279.3"/>
    <n v="282.8"/>
    <n v="3.8029999999999999"/>
  </r>
  <r>
    <x v="5"/>
    <x v="1"/>
    <n v="524.40499999999997"/>
    <n v="5.9950000000000001"/>
    <n v="2.6"/>
    <n v="284"/>
    <n v="286.60000000000002"/>
    <n v="2.72"/>
  </r>
  <r>
    <x v="5"/>
    <x v="2"/>
    <n v="479.57"/>
    <n v="5.2"/>
    <n v="2.1"/>
    <n v="287.8"/>
    <n v="289.89999999999998"/>
    <n v="2.3079999999999998"/>
  </r>
  <r>
    <x v="5"/>
    <x v="3"/>
    <n v="474.17500000000001"/>
    <n v="5.5250000000000004"/>
    <n v="2.1"/>
    <n v="291"/>
    <n v="293.10000000000002"/>
    <n v="2.105"/>
  </r>
  <r>
    <x v="5"/>
    <x v="4"/>
    <n v="464.97"/>
    <n v="4.91"/>
    <n v="1.8"/>
    <n v="294.2"/>
    <n v="296"/>
    <n v="1.9890000000000001"/>
  </r>
  <r>
    <x v="5"/>
    <x v="5"/>
    <n v="447.28"/>
    <n v="4.7649999999999997"/>
    <n v="1.9"/>
    <n v="297.10000000000002"/>
    <n v="299"/>
    <n v="1.915"/>
  </r>
  <r>
    <x v="5"/>
    <x v="6"/>
    <n v="456.28500000000003"/>
    <n v="4.7350000000000003"/>
    <n v="1.9"/>
    <n v="300"/>
    <n v="301.89999999999998"/>
    <n v="1.865"/>
  </r>
  <r>
    <x v="5"/>
    <x v="7"/>
    <n v="467.67"/>
    <n v="5.4349999999999996"/>
    <n v="1.8"/>
    <n v="302.89999999999998"/>
    <n v="304.7"/>
    <n v="1.829"/>
  </r>
  <r>
    <x v="5"/>
    <x v="8"/>
    <n v="464.17"/>
    <n v="5.6550000000000002"/>
    <n v="1.7"/>
    <n v="305.8"/>
    <n v="307.5"/>
    <n v="1.8029999999999999"/>
  </r>
  <r>
    <x v="5"/>
    <x v="9"/>
    <n v="463.66500000000002"/>
    <n v="6.31"/>
    <n v="1.7"/>
    <n v="308.60000000000002"/>
    <n v="310.3"/>
    <n v="1.7829999999999999"/>
  </r>
  <r>
    <x v="6"/>
    <x v="0"/>
    <n v="561.57500000000005"/>
    <n v="4.875"/>
    <n v="3.4"/>
    <n v="311.5"/>
    <n v="314.89999999999998"/>
    <n v="3.6640000000000001"/>
  </r>
  <r>
    <x v="6"/>
    <x v="1"/>
    <n v="506.51499999999999"/>
    <n v="5.75"/>
    <n v="2.5"/>
    <n v="316.10000000000002"/>
    <n v="318.60000000000002"/>
    <n v="2.613"/>
  </r>
  <r>
    <x v="6"/>
    <x v="2"/>
    <n v="473.64"/>
    <n v="5.4850000000000003"/>
    <n v="2.1"/>
    <n v="319.7"/>
    <n v="321.8"/>
    <n v="2.1709999999999998"/>
  </r>
  <r>
    <x v="6"/>
    <x v="3"/>
    <n v="459.125"/>
    <n v="5.2649999999999997"/>
    <n v="1.8"/>
    <n v="322.89999999999998"/>
    <n v="324.7"/>
    <n v="1.954"/>
  </r>
  <r>
    <x v="6"/>
    <x v="4"/>
    <n v="461.82499999999999"/>
    <n v="5.4550000000000001"/>
    <n v="1.7"/>
    <n v="325.8"/>
    <n v="327.5"/>
    <n v="1.825"/>
  </r>
  <r>
    <x v="6"/>
    <x v="5"/>
    <n v="468.065"/>
    <n v="5.5549999999999997"/>
    <n v="1.7"/>
    <n v="328.6"/>
    <n v="330.3"/>
    <n v="1.746"/>
  </r>
  <r>
    <x v="6"/>
    <x v="6"/>
    <n v="455.51499999999999"/>
    <n v="5.39"/>
    <n v="1.6"/>
    <n v="331.4"/>
    <n v="333"/>
    <n v="1.6890000000000001"/>
  </r>
  <r>
    <x v="6"/>
    <x v="7"/>
    <n v="386.79"/>
    <n v="6.35"/>
    <n v="1.5"/>
    <n v="334.1"/>
    <n v="335.6"/>
    <n v="1.651"/>
  </r>
  <r>
    <x v="6"/>
    <x v="8"/>
    <n v="453.875"/>
    <n v="6.0650000000000004"/>
    <n v="1.6"/>
    <n v="336.7"/>
    <n v="338.3"/>
    <n v="1.621"/>
  </r>
  <r>
    <x v="6"/>
    <x v="9"/>
    <n v="431.29500000000002"/>
    <n v="7.2249999999999996"/>
    <n v="1.5"/>
    <n v="339.4"/>
    <n v="340.9"/>
    <n v="1.601"/>
  </r>
  <r>
    <x v="7"/>
    <x v="0"/>
    <n v="545.03499999999997"/>
    <n v="5.585"/>
    <n v="3.3"/>
    <n v="342.1"/>
    <n v="345.4"/>
    <n v="3.5409999999999999"/>
  </r>
  <r>
    <x v="7"/>
    <x v="1"/>
    <n v="488.22500000000002"/>
    <n v="5.27"/>
    <n v="2.4"/>
    <n v="346.6"/>
    <n v="349"/>
    <n v="2.5259999999999998"/>
  </r>
  <r>
    <x v="7"/>
    <x v="2"/>
    <n v="456.39499999999998"/>
    <n v="5.0549999999999997"/>
    <n v="2"/>
    <n v="350.1"/>
    <n v="352.1"/>
    <n v="2.0779999999999998"/>
  </r>
  <r>
    <x v="7"/>
    <x v="3"/>
    <n v="443.08"/>
    <n v="5.43"/>
    <n v="1.7"/>
    <n v="353.2"/>
    <n v="354.9"/>
    <n v="1.845"/>
  </r>
  <r>
    <x v="7"/>
    <x v="4"/>
    <n v="425.58499999999998"/>
    <n v="4.875"/>
    <n v="1.6"/>
    <n v="356"/>
    <n v="357.6"/>
    <n v="1.712"/>
  </r>
  <r>
    <x v="7"/>
    <x v="5"/>
    <n v="451.67"/>
    <n v="5.57"/>
    <n v="1.6"/>
    <n v="358.7"/>
    <n v="360.3"/>
    <n v="1.623"/>
  </r>
  <r>
    <x v="7"/>
    <x v="6"/>
    <n v="390.13499999999999"/>
    <n v="5.9850000000000003"/>
    <n v="1.4"/>
    <n v="361.4"/>
    <n v="362.8"/>
    <n v="1.5649999999999999"/>
  </r>
  <r>
    <x v="7"/>
    <x v="7"/>
    <n v="448.02"/>
    <n v="6.8650000000000002"/>
    <n v="1.5"/>
    <n v="363.9"/>
    <n v="365.4"/>
    <n v="1.522"/>
  </r>
  <r>
    <x v="7"/>
    <x v="8"/>
    <n v="434.185"/>
    <n v="6.5750000000000002"/>
    <n v="1.4"/>
    <n v="366.5"/>
    <n v="367.9"/>
    <n v="1.4910000000000001"/>
  </r>
  <r>
    <x v="7"/>
    <x v="9"/>
    <n v="402.68"/>
    <n v="8.64"/>
    <n v="1.4"/>
    <n v="369"/>
    <n v="370.4"/>
    <n v="1.47"/>
  </r>
  <r>
    <x v="8"/>
    <x v="0"/>
    <n v="532.49"/>
    <n v="5.1950000000000003"/>
    <n v="3.2"/>
    <n v="371.6"/>
    <n v="374.8"/>
    <n v="3.4430000000000001"/>
  </r>
  <r>
    <x v="8"/>
    <x v="1"/>
    <n v="471.88499999999999"/>
    <n v="5.76"/>
    <n v="2.2999999999999998"/>
    <n v="376"/>
    <n v="378.3"/>
    <n v="2.452"/>
  </r>
  <r>
    <x v="8"/>
    <x v="2"/>
    <n v="426.21"/>
    <n v="5.4349999999999996"/>
    <n v="1.8"/>
    <n v="379.5"/>
    <n v="381.3"/>
    <n v="2.0129999999999999"/>
  </r>
  <r>
    <x v="8"/>
    <x v="3"/>
    <n v="431.99"/>
    <n v="5.3150000000000004"/>
    <n v="1.7"/>
    <n v="382.4"/>
    <n v="384.1"/>
    <n v="1.768"/>
  </r>
  <r>
    <x v="8"/>
    <x v="4"/>
    <n v="422.49"/>
    <n v="6.0049999999999999"/>
    <n v="1.5"/>
    <n v="385.2"/>
    <n v="386.7"/>
    <n v="1.631"/>
  </r>
  <r>
    <x v="8"/>
    <x v="5"/>
    <n v="396.99"/>
    <n v="5.68"/>
    <n v="1.3"/>
    <n v="387.9"/>
    <n v="389.2"/>
    <n v="1.5309999999999999"/>
  </r>
  <r>
    <x v="8"/>
    <x v="6"/>
    <n v="437.685"/>
    <n v="6.9850000000000003"/>
    <n v="1.4"/>
    <n v="390.3"/>
    <n v="391.7"/>
    <n v="1.4710000000000001"/>
  </r>
  <r>
    <x v="8"/>
    <x v="7"/>
    <n v="426.21499999999997"/>
    <n v="9.65"/>
    <n v="1.3"/>
    <n v="392.8"/>
    <n v="394.1"/>
    <n v="1.427"/>
  </r>
  <r>
    <x v="8"/>
    <x v="8"/>
    <n v="425.13499999999999"/>
    <n v="8.64"/>
    <n v="1.3"/>
    <n v="395.3"/>
    <n v="396.6"/>
    <n v="1.39"/>
  </r>
  <r>
    <x v="8"/>
    <x v="9"/>
    <n v="423.21"/>
    <n v="12.38"/>
    <n v="1.2"/>
    <n v="397.7"/>
    <n v="398.9"/>
    <n v="1.37"/>
  </r>
  <r>
    <x v="9"/>
    <x v="0"/>
    <n v="514.31500000000005"/>
    <n v="4.95"/>
    <n v="3.1"/>
    <n v="400.2"/>
    <n v="403.3"/>
    <n v="3.41"/>
  </r>
  <r>
    <x v="9"/>
    <x v="1"/>
    <n v="462.42500000000001"/>
    <n v="5.75"/>
    <n v="2.2000000000000002"/>
    <n v="404.6"/>
    <n v="406.8"/>
    <n v="2.391"/>
  </r>
  <r>
    <x v="9"/>
    <x v="2"/>
    <n v="421.22"/>
    <n v="5.0449999999999999"/>
    <n v="1.8"/>
    <n v="408"/>
    <n v="409.8"/>
    <n v="1.9650000000000001"/>
  </r>
  <r>
    <x v="9"/>
    <x v="3"/>
    <n v="413.495"/>
    <n v="5.1849999999999996"/>
    <n v="1.6"/>
    <n v="410.9"/>
    <n v="412.5"/>
    <n v="1.7110000000000001"/>
  </r>
  <r>
    <x v="9"/>
    <x v="4"/>
    <n v="436.505"/>
    <n v="5.8949999999999996"/>
    <n v="1.4"/>
    <n v="413.6"/>
    <n v="415"/>
    <n v="1.5620000000000001"/>
  </r>
  <r>
    <x v="9"/>
    <x v="5"/>
    <n v="406.20499999999998"/>
    <n v="6.8150000000000004"/>
    <n v="1.3"/>
    <n v="416.2"/>
    <n v="417.5"/>
    <n v="1.47"/>
  </r>
  <r>
    <x v="9"/>
    <x v="6"/>
    <n v="413.91"/>
    <n v="7.585"/>
    <n v="1.2"/>
    <n v="418.7"/>
    <n v="419.9"/>
    <n v="1.3979999999999999"/>
  </r>
  <r>
    <x v="9"/>
    <x v="7"/>
    <n v="412.47"/>
    <n v="9.2799999999999994"/>
    <n v="1.2"/>
    <n v="421.1"/>
    <n v="422.3"/>
    <n v="1.353"/>
  </r>
  <r>
    <x v="9"/>
    <x v="8"/>
    <n v="404.58499999999998"/>
    <n v="12.1"/>
    <n v="1.2"/>
    <n v="423.4"/>
    <n v="424.6"/>
    <n v="1.3160000000000001"/>
  </r>
  <r>
    <x v="9"/>
    <x v="9"/>
    <n v="451.505"/>
    <n v="123.76"/>
    <n v="1.2"/>
    <n v="425.7"/>
    <n v="426.9"/>
    <n v="1.288"/>
  </r>
  <r>
    <x v="10"/>
    <x v="10"/>
    <m/>
    <m/>
    <m/>
    <m/>
    <m/>
    <m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x v="0"/>
    <x v="0"/>
    <n v="1083.615"/>
    <n v="5.69"/>
    <n v="9.3000000000000007"/>
    <n v="4.4000000000000004"/>
    <n v="13.7"/>
    <n v="9.6340000000000003"/>
  </r>
  <r>
    <x v="0"/>
    <x v="1"/>
    <n v="1055.7650000000001"/>
    <n v="5.4649999999999999"/>
    <n v="9"/>
    <n v="15"/>
    <n v="24"/>
    <n v="9.1370000000000005"/>
  </r>
  <r>
    <x v="0"/>
    <x v="2"/>
    <n v="1048.0550000000001"/>
    <n v="5.0199999999999996"/>
    <n v="8.9"/>
    <n v="25.1"/>
    <n v="34"/>
    <n v="8.9700000000000006"/>
  </r>
  <r>
    <x v="0"/>
    <x v="3"/>
    <n v="1035.96"/>
    <n v="5.46"/>
    <n v="8.8000000000000007"/>
    <n v="35.1"/>
    <n v="43.9"/>
    <n v="8.8859999999999992"/>
  </r>
  <r>
    <x v="0"/>
    <x v="4"/>
    <n v="1024.0250000000001"/>
    <n v="5.8150000000000004"/>
    <n v="8.6999999999999993"/>
    <n v="45"/>
    <n v="53.7"/>
    <n v="8.8379999999999992"/>
  </r>
  <r>
    <x v="0"/>
    <x v="5"/>
    <n v="1037.6600000000001"/>
    <n v="4.5999999999999996"/>
    <n v="8.8000000000000007"/>
    <n v="54.8"/>
    <n v="63.6"/>
    <n v="8.8000000000000007"/>
  </r>
  <r>
    <x v="0"/>
    <x v="6"/>
    <n v="1034.635"/>
    <n v="4.2649999999999997"/>
    <n v="8.8000000000000007"/>
    <n v="64.599999999999994"/>
    <n v="73.400000000000006"/>
    <n v="8.7810000000000006"/>
  </r>
  <r>
    <x v="0"/>
    <x v="7"/>
    <n v="1049.135"/>
    <n v="5.3"/>
    <n v="8.9"/>
    <n v="74.3"/>
    <n v="83.2"/>
    <n v="8.766"/>
  </r>
  <r>
    <x v="0"/>
    <x v="8"/>
    <n v="1025.72"/>
    <n v="4.6849999999999996"/>
    <n v="8.6999999999999993"/>
    <n v="84.2"/>
    <n v="92.9"/>
    <n v="8.76"/>
  </r>
  <r>
    <x v="0"/>
    <x v="9"/>
    <n v="1038.96"/>
    <n v="6.5449999999999999"/>
    <n v="8.8000000000000007"/>
    <n v="93.9"/>
    <n v="102.7"/>
    <n v="8.7490000000000006"/>
  </r>
  <r>
    <x v="1"/>
    <x v="0"/>
    <n v="717.34"/>
    <n v="5.8550000000000004"/>
    <n v="5.3"/>
    <n v="103.9"/>
    <n v="109.2"/>
    <n v="5.766"/>
  </r>
  <r>
    <x v="1"/>
    <x v="1"/>
    <n v="678.38"/>
    <n v="4.9950000000000001"/>
    <n v="4.9000000000000004"/>
    <n v="110.6"/>
    <n v="115.5"/>
    <n v="5.0590000000000002"/>
  </r>
  <r>
    <x v="1"/>
    <x v="2"/>
    <n v="657.09500000000003"/>
    <n v="5.12"/>
    <n v="4.7"/>
    <n v="116.6"/>
    <n v="121.3"/>
    <n v="4.8220000000000001"/>
  </r>
  <r>
    <x v="1"/>
    <x v="3"/>
    <n v="663.05"/>
    <n v="4.82"/>
    <n v="4.7"/>
    <n v="122.4"/>
    <n v="127.1"/>
    <n v="4.7060000000000004"/>
  </r>
  <r>
    <x v="1"/>
    <x v="4"/>
    <n v="651.73"/>
    <n v="5.4349999999999996"/>
    <n v="4.5999999999999996"/>
    <n v="128.1"/>
    <n v="132.69999999999999"/>
    <n v="4.6340000000000003"/>
  </r>
  <r>
    <x v="1"/>
    <x v="5"/>
    <n v="640.97500000000002"/>
    <n v="4.8949999999999996"/>
    <n v="4.5"/>
    <n v="133.80000000000001"/>
    <n v="138.30000000000001"/>
    <n v="4.5940000000000003"/>
  </r>
  <r>
    <x v="1"/>
    <x v="6"/>
    <n v="651.07000000000005"/>
    <n v="4.9800000000000004"/>
    <n v="4.5999999999999996"/>
    <n v="139.30000000000001"/>
    <n v="143.9"/>
    <n v="4.5620000000000003"/>
  </r>
  <r>
    <x v="1"/>
    <x v="7"/>
    <n v="653.60500000000002"/>
    <n v="4.2949999999999999"/>
    <n v="4.5999999999999996"/>
    <n v="144.9"/>
    <n v="149.5"/>
    <n v="4.5419999999999998"/>
  </r>
  <r>
    <x v="1"/>
    <x v="8"/>
    <n v="652.93499999999995"/>
    <n v="4.99"/>
    <n v="4.5999999999999996"/>
    <n v="150.4"/>
    <n v="155"/>
    <n v="4.53"/>
  </r>
  <r>
    <x v="1"/>
    <x v="9"/>
    <n v="640.75"/>
    <n v="5.83"/>
    <n v="4.5"/>
    <n v="156"/>
    <n v="160.5"/>
    <n v="4.516"/>
  </r>
  <r>
    <x v="2"/>
    <x v="0"/>
    <n v="632.78499999999997"/>
    <n v="5.0999999999999996"/>
    <n v="4.3"/>
    <n v="161.69999999999999"/>
    <n v="166"/>
    <n v="4.6520000000000001"/>
  </r>
  <r>
    <x v="2"/>
    <x v="1"/>
    <n v="572.13499999999999"/>
    <n v="4.8449999999999998"/>
    <n v="3.6"/>
    <n v="167.3"/>
    <n v="170.9"/>
    <n v="3.7850000000000001"/>
  </r>
  <r>
    <x v="2"/>
    <x v="2"/>
    <n v="557.57500000000005"/>
    <n v="5.53"/>
    <n v="3.4"/>
    <n v="172"/>
    <n v="175.4"/>
    <n v="3.4980000000000002"/>
  </r>
  <r>
    <x v="2"/>
    <x v="3"/>
    <n v="545.97"/>
    <n v="4.92"/>
    <n v="3.3"/>
    <n v="176.5"/>
    <n v="179.8"/>
    <n v="3.3530000000000002"/>
  </r>
  <r>
    <x v="2"/>
    <x v="4"/>
    <n v="552.65"/>
    <n v="5.18"/>
    <n v="3.3"/>
    <n v="180.8"/>
    <n v="184.1"/>
    <n v="3.27"/>
  </r>
  <r>
    <x v="2"/>
    <x v="5"/>
    <n v="523.76499999999999"/>
    <n v="5.48"/>
    <n v="3.1"/>
    <n v="185.2"/>
    <n v="188.3"/>
    <n v="3.22"/>
  </r>
  <r>
    <x v="2"/>
    <x v="6"/>
    <n v="528.19000000000005"/>
    <n v="5.1849999999999996"/>
    <n v="3.1"/>
    <n v="189.4"/>
    <n v="192.5"/>
    <n v="3.1850000000000001"/>
  </r>
  <r>
    <x v="2"/>
    <x v="7"/>
    <n v="523.69500000000005"/>
    <n v="4.95"/>
    <n v="3.1"/>
    <n v="193.6"/>
    <n v="196.7"/>
    <n v="3.16"/>
  </r>
  <r>
    <x v="2"/>
    <x v="8"/>
    <n v="545.35500000000002"/>
    <n v="5"/>
    <n v="3.2"/>
    <n v="197.7"/>
    <n v="200.9"/>
    <n v="3.1419999999999999"/>
  </r>
  <r>
    <x v="2"/>
    <x v="9"/>
    <n v="519.09"/>
    <n v="6.09"/>
    <n v="3.1"/>
    <n v="201.9"/>
    <n v="205"/>
    <n v="3.1339999999999999"/>
  </r>
  <r>
    <x v="3"/>
    <x v="0"/>
    <n v="604.54999999999995"/>
    <n v="5.04"/>
    <n v="3.9"/>
    <n v="206.2"/>
    <n v="210.1"/>
    <n v="4.2069999999999999"/>
  </r>
  <r>
    <x v="3"/>
    <x v="1"/>
    <n v="537.97500000000002"/>
    <n v="5.63"/>
    <n v="3.1"/>
    <n v="211.3"/>
    <n v="214.4"/>
    <n v="3.206"/>
  </r>
  <r>
    <x v="3"/>
    <x v="2"/>
    <n v="520.29499999999996"/>
    <n v="5.38"/>
    <n v="2.8"/>
    <n v="215.5"/>
    <n v="218.3"/>
    <n v="2.879"/>
  </r>
  <r>
    <x v="3"/>
    <x v="3"/>
    <n v="489.33499999999998"/>
    <n v="5.335"/>
    <n v="2.6"/>
    <n v="219.4"/>
    <n v="222"/>
    <n v="2.7090000000000001"/>
  </r>
  <r>
    <x v="3"/>
    <x v="4"/>
    <n v="484.07499999999999"/>
    <n v="4.8949999999999996"/>
    <n v="2.6"/>
    <n v="223.1"/>
    <n v="225.7"/>
    <n v="2.6120000000000001"/>
  </r>
  <r>
    <x v="3"/>
    <x v="5"/>
    <n v="479.21"/>
    <n v="5.3449999999999998"/>
    <n v="2.5"/>
    <n v="226.7"/>
    <n v="229.2"/>
    <n v="2.5529999999999999"/>
  </r>
  <r>
    <x v="3"/>
    <x v="6"/>
    <n v="476.5"/>
    <n v="4.72"/>
    <n v="2.4"/>
    <n v="230.3"/>
    <n v="232.7"/>
    <n v="2.512"/>
  </r>
  <r>
    <x v="3"/>
    <x v="7"/>
    <n v="503.27"/>
    <n v="5.35"/>
    <n v="2.5"/>
    <n v="233.7"/>
    <n v="236.2"/>
    <n v="2.484"/>
  </r>
  <r>
    <x v="3"/>
    <x v="8"/>
    <n v="494.54"/>
    <n v="5.2249999999999996"/>
    <n v="2.4"/>
    <n v="237.3"/>
    <n v="239.7"/>
    <n v="2.4649999999999999"/>
  </r>
  <r>
    <x v="3"/>
    <x v="9"/>
    <n v="485.065"/>
    <n v="6.0949999999999998"/>
    <n v="2.5"/>
    <n v="240.7"/>
    <n v="243.2"/>
    <n v="2.4470000000000001"/>
  </r>
  <r>
    <x v="4"/>
    <x v="0"/>
    <n v="583.41"/>
    <n v="5.26"/>
    <n v="3.6"/>
    <n v="244.4"/>
    <n v="248"/>
    <n v="3.9769999999999999"/>
  </r>
  <r>
    <x v="4"/>
    <x v="1"/>
    <n v="514.63499999999999"/>
    <n v="5.58"/>
    <n v="2.7"/>
    <n v="249.3"/>
    <n v="252"/>
    <n v="2.8919999999999999"/>
  </r>
  <r>
    <x v="4"/>
    <x v="2"/>
    <n v="499.18"/>
    <n v="5.0999999999999996"/>
    <n v="2.4"/>
    <n v="253.2"/>
    <n v="255.6"/>
    <n v="2.524"/>
  </r>
  <r>
    <x v="4"/>
    <x v="3"/>
    <n v="503.89499999999998"/>
    <n v="4.9749999999999996"/>
    <n v="2.4"/>
    <n v="256.60000000000002"/>
    <n v="259"/>
    <n v="2.335"/>
  </r>
  <r>
    <x v="4"/>
    <x v="4"/>
    <n v="486.42"/>
    <n v="4.6749999999999998"/>
    <n v="2.2000000000000002"/>
    <n v="260"/>
    <n v="262.2"/>
    <n v="2.2320000000000002"/>
  </r>
  <r>
    <x v="4"/>
    <x v="5"/>
    <n v="484.8"/>
    <n v="4.92"/>
    <n v="2.2000000000000002"/>
    <n v="263.2"/>
    <n v="265.39999999999998"/>
    <n v="2.1659999999999999"/>
  </r>
  <r>
    <x v="4"/>
    <x v="6"/>
    <n v="478.82499999999999"/>
    <n v="4.46"/>
    <n v="2.1"/>
    <n v="266.39999999999998"/>
    <n v="268.5"/>
    <n v="2.117"/>
  </r>
  <r>
    <x v="4"/>
    <x v="7"/>
    <n v="468.01499999999999"/>
    <n v="5.0949999999999998"/>
    <n v="2"/>
    <n v="269.5"/>
    <n v="271.5"/>
    <n v="2.0870000000000002"/>
  </r>
  <r>
    <x v="4"/>
    <x v="8"/>
    <n v="481.065"/>
    <n v="5.0650000000000004"/>
    <n v="2.1"/>
    <n v="272.60000000000002"/>
    <n v="274.7"/>
    <n v="2.0630000000000002"/>
  </r>
  <r>
    <x v="4"/>
    <x v="9"/>
    <n v="463.68"/>
    <n v="6.32"/>
    <n v="2"/>
    <n v="275.7"/>
    <n v="277.7"/>
    <n v="2.048"/>
  </r>
  <r>
    <x v="5"/>
    <x v="0"/>
    <n v="580.05999999999995"/>
    <n v="4.82"/>
    <n v="3.5"/>
    <n v="278.89999999999998"/>
    <n v="282.39999999999998"/>
    <n v="3.8010000000000002"/>
  </r>
  <r>
    <x v="5"/>
    <x v="1"/>
    <n v="523.18499999999995"/>
    <n v="5.6950000000000003"/>
    <n v="2.6"/>
    <n v="283.7"/>
    <n v="286.3"/>
    <n v="2.72"/>
  </r>
  <r>
    <x v="5"/>
    <x v="2"/>
    <n v="482.66500000000002"/>
    <n v="5.03"/>
    <n v="2.1"/>
    <n v="287.39999999999998"/>
    <n v="289.5"/>
    <n v="2.31"/>
  </r>
  <r>
    <x v="5"/>
    <x v="3"/>
    <n v="472.92"/>
    <n v="5.6050000000000004"/>
    <n v="2.1"/>
    <n v="290.60000000000002"/>
    <n v="292.7"/>
    <n v="2.1070000000000002"/>
  </r>
  <r>
    <x v="5"/>
    <x v="4"/>
    <n v="470.78"/>
    <n v="4.67"/>
    <n v="1.9"/>
    <n v="293.8"/>
    <n v="295.7"/>
    <n v="1.9890000000000001"/>
  </r>
  <r>
    <x v="5"/>
    <x v="5"/>
    <n v="444.63"/>
    <n v="5.45"/>
    <n v="1.9"/>
    <n v="296.7"/>
    <n v="298.60000000000002"/>
    <n v="1.915"/>
  </r>
  <r>
    <x v="5"/>
    <x v="6"/>
    <n v="459.73500000000001"/>
    <n v="5.3150000000000004"/>
    <n v="1.8"/>
    <n v="299.7"/>
    <n v="301.5"/>
    <n v="1.865"/>
  </r>
  <r>
    <x v="5"/>
    <x v="7"/>
    <n v="465.94499999999999"/>
    <n v="5.5549999999999997"/>
    <n v="1.7"/>
    <n v="302.60000000000002"/>
    <n v="304.3"/>
    <n v="1.829"/>
  </r>
  <r>
    <x v="5"/>
    <x v="8"/>
    <n v="468.6"/>
    <n v="5.5549999999999997"/>
    <n v="1.7"/>
    <n v="305.39999999999998"/>
    <n v="307.10000000000002"/>
    <n v="1.8029999999999999"/>
  </r>
  <r>
    <x v="5"/>
    <x v="9"/>
    <n v="467.91"/>
    <n v="6.36"/>
    <n v="1.7"/>
    <n v="308.2"/>
    <n v="309.89999999999998"/>
    <n v="1.7829999999999999"/>
  </r>
  <r>
    <x v="6"/>
    <x v="0"/>
    <n v="561.62"/>
    <n v="5.53"/>
    <n v="3.4"/>
    <n v="311.10000000000002"/>
    <n v="314.5"/>
    <n v="3.6629999999999998"/>
  </r>
  <r>
    <x v="6"/>
    <x v="1"/>
    <n v="495.73"/>
    <n v="5.01"/>
    <n v="2.4"/>
    <n v="315.8"/>
    <n v="318.2"/>
    <n v="2.6110000000000002"/>
  </r>
  <r>
    <x v="6"/>
    <x v="2"/>
    <n v="475.76499999999999"/>
    <n v="5.5149999999999997"/>
    <n v="2.1"/>
    <n v="319.3"/>
    <n v="321.39999999999998"/>
    <n v="2.169"/>
  </r>
  <r>
    <x v="6"/>
    <x v="3"/>
    <n v="456.41"/>
    <n v="5.79"/>
    <n v="1.9"/>
    <n v="322.5"/>
    <n v="324.39999999999998"/>
    <n v="1.956"/>
  </r>
  <r>
    <x v="6"/>
    <x v="4"/>
    <n v="459.85500000000002"/>
    <n v="5.37"/>
    <n v="1.7"/>
    <n v="325.5"/>
    <n v="327.2"/>
    <n v="1.833"/>
  </r>
  <r>
    <x v="6"/>
    <x v="5"/>
    <n v="463.86500000000001"/>
    <n v="5.5"/>
    <n v="1.7"/>
    <n v="328.3"/>
    <n v="330"/>
    <n v="1.7470000000000001"/>
  </r>
  <r>
    <x v="6"/>
    <x v="6"/>
    <n v="432.79"/>
    <n v="5.875"/>
    <n v="1.5"/>
    <n v="331.1"/>
    <n v="332.6"/>
    <n v="1.6890000000000001"/>
  </r>
  <r>
    <x v="6"/>
    <x v="7"/>
    <n v="394.14"/>
    <n v="5.4749999999999996"/>
    <n v="1.6"/>
    <n v="333.7"/>
    <n v="335.3"/>
    <n v="1.651"/>
  </r>
  <r>
    <x v="6"/>
    <x v="8"/>
    <n v="462.48500000000001"/>
    <n v="4.915"/>
    <n v="1.6"/>
    <n v="336.4"/>
    <n v="338"/>
    <n v="1.6220000000000001"/>
  </r>
  <r>
    <x v="6"/>
    <x v="9"/>
    <n v="393.54500000000002"/>
    <n v="9.2349999999999994"/>
    <n v="1.5"/>
    <n v="339"/>
    <n v="340.5"/>
    <n v="1.603"/>
  </r>
  <r>
    <x v="7"/>
    <x v="0"/>
    <n v="556.57000000000005"/>
    <n v="5.1150000000000002"/>
    <n v="3.4"/>
    <n v="341.8"/>
    <n v="345.2"/>
    <n v="3.5409999999999999"/>
  </r>
  <r>
    <x v="7"/>
    <x v="1"/>
    <n v="489.76"/>
    <n v="3.3450000000000002"/>
    <n v="2.4"/>
    <n v="346.3"/>
    <n v="348.7"/>
    <n v="2.5249999999999999"/>
  </r>
  <r>
    <x v="7"/>
    <x v="2"/>
    <n v="448.23500000000001"/>
    <n v="4.17"/>
    <n v="1.9"/>
    <n v="349.8"/>
    <n v="351.7"/>
    <n v="2.08"/>
  </r>
  <r>
    <x v="7"/>
    <x v="3"/>
    <n v="445.61500000000001"/>
    <n v="5.57"/>
    <n v="1.8"/>
    <n v="352.8"/>
    <n v="354.6"/>
    <n v="1.843"/>
  </r>
  <r>
    <x v="7"/>
    <x v="4"/>
    <n v="419.98500000000001"/>
    <n v="4.33"/>
    <n v="1.6"/>
    <n v="355.7"/>
    <n v="357.3"/>
    <n v="1.7110000000000001"/>
  </r>
  <r>
    <x v="7"/>
    <x v="5"/>
    <n v="439.29"/>
    <n v="4.5350000000000001"/>
    <n v="1.5"/>
    <n v="358.4"/>
    <n v="359.9"/>
    <n v="1.621"/>
  </r>
  <r>
    <x v="7"/>
    <x v="6"/>
    <n v="393.02"/>
    <n v="5.96"/>
    <n v="1.4"/>
    <n v="361"/>
    <n v="362.4"/>
    <n v="1.5649999999999999"/>
  </r>
  <r>
    <x v="7"/>
    <x v="7"/>
    <n v="438.47"/>
    <n v="5.835"/>
    <n v="1.4"/>
    <n v="363.6"/>
    <n v="365"/>
    <n v="1.522"/>
  </r>
  <r>
    <x v="7"/>
    <x v="8"/>
    <n v="418"/>
    <n v="6.63"/>
    <n v="1.4"/>
    <n v="366.1"/>
    <n v="367.5"/>
    <n v="1.4890000000000001"/>
  </r>
  <r>
    <x v="7"/>
    <x v="9"/>
    <n v="411.11"/>
    <n v="8.69"/>
    <n v="1.4"/>
    <n v="368.6"/>
    <n v="370"/>
    <n v="1.468"/>
  </r>
  <r>
    <x v="8"/>
    <x v="0"/>
    <n v="536.51499999999999"/>
    <n v="4.8150000000000004"/>
    <n v="3.2"/>
    <n v="371.2"/>
    <n v="374.4"/>
    <n v="3.4460000000000002"/>
  </r>
  <r>
    <x v="8"/>
    <x v="1"/>
    <n v="481.28500000000003"/>
    <n v="4.88"/>
    <n v="2.4"/>
    <n v="375.6"/>
    <n v="378"/>
    <n v="2.4540000000000002"/>
  </r>
  <r>
    <x v="8"/>
    <x v="2"/>
    <n v="429.31"/>
    <n v="5.335"/>
    <n v="1.8"/>
    <n v="379.1"/>
    <n v="380.9"/>
    <n v="2.012"/>
  </r>
  <r>
    <x v="8"/>
    <x v="3"/>
    <n v="418.45499999999998"/>
    <n v="5.3"/>
    <n v="1.6"/>
    <n v="382.1"/>
    <n v="383.7"/>
    <n v="1.7669999999999999"/>
  </r>
  <r>
    <x v="8"/>
    <x v="4"/>
    <n v="438.78500000000003"/>
    <n v="5.56"/>
    <n v="1.6"/>
    <n v="384.8"/>
    <n v="386.4"/>
    <n v="1.625"/>
  </r>
  <r>
    <x v="8"/>
    <x v="5"/>
    <n v="401.245"/>
    <n v="5.36"/>
    <n v="1.4"/>
    <n v="387.5"/>
    <n v="388.9"/>
    <n v="1.5309999999999999"/>
  </r>
  <r>
    <x v="8"/>
    <x v="6"/>
    <n v="423.495"/>
    <n v="7.9"/>
    <n v="1.3"/>
    <n v="390"/>
    <n v="391.3"/>
    <n v="1.47"/>
  </r>
  <r>
    <x v="8"/>
    <x v="7"/>
    <n v="431.02"/>
    <n v="8.6950000000000003"/>
    <n v="1.3"/>
    <n v="392.5"/>
    <n v="393.8"/>
    <n v="1.429"/>
  </r>
  <r>
    <x v="8"/>
    <x v="8"/>
    <n v="434.37"/>
    <n v="8.8699999999999992"/>
    <n v="1.3"/>
    <n v="394.9"/>
    <n v="396.2"/>
    <n v="1.3919999999999999"/>
  </r>
  <r>
    <x v="8"/>
    <x v="9"/>
    <n v="435.82499999999999"/>
    <n v="10.44"/>
    <n v="1.3"/>
    <n v="397.3"/>
    <n v="398.6"/>
    <n v="1.363"/>
  </r>
  <r>
    <x v="9"/>
    <x v="0"/>
    <n v="517.98"/>
    <n v="4.74"/>
    <n v="3.1"/>
    <n v="399.8"/>
    <n v="402.9"/>
    <n v="3.41"/>
  </r>
  <r>
    <x v="9"/>
    <x v="1"/>
    <n v="467.7"/>
    <n v="5.23"/>
    <n v="2.2999999999999998"/>
    <n v="404.2"/>
    <n v="406.5"/>
    <n v="2.39"/>
  </r>
  <r>
    <x v="9"/>
    <x v="2"/>
    <n v="423.67"/>
    <n v="5.3550000000000004"/>
    <n v="1.8"/>
    <n v="407.6"/>
    <n v="409.4"/>
    <n v="1.9650000000000001"/>
  </r>
  <r>
    <x v="9"/>
    <x v="3"/>
    <n v="417.22"/>
    <n v="4.96"/>
    <n v="1.6"/>
    <n v="410.5"/>
    <n v="412.1"/>
    <n v="1.7110000000000001"/>
  </r>
  <r>
    <x v="9"/>
    <x v="4"/>
    <n v="435.49"/>
    <n v="6.04"/>
    <n v="1.4"/>
    <n v="413.2"/>
    <n v="414.6"/>
    <n v="1.5640000000000001"/>
  </r>
  <r>
    <x v="9"/>
    <x v="5"/>
    <n v="406.58499999999998"/>
    <n v="7.16"/>
    <n v="1.3"/>
    <n v="415.8"/>
    <n v="417.1"/>
    <n v="1.4650000000000001"/>
  </r>
  <r>
    <x v="9"/>
    <x v="6"/>
    <n v="413.51499999999999"/>
    <n v="7.53"/>
    <n v="1.2"/>
    <n v="418.3"/>
    <n v="419.5"/>
    <n v="1.3979999999999999"/>
  </r>
  <r>
    <x v="9"/>
    <x v="7"/>
    <n v="412.18"/>
    <n v="9.3949999999999996"/>
    <n v="1.2"/>
    <n v="420.7"/>
    <n v="421.9"/>
    <n v="1.351"/>
  </r>
  <r>
    <x v="9"/>
    <x v="8"/>
    <n v="402.005"/>
    <n v="12.53"/>
    <n v="1.2"/>
    <n v="423"/>
    <n v="424.2"/>
    <n v="1.3140000000000001"/>
  </r>
  <r>
    <x v="9"/>
    <x v="9"/>
    <n v="409.98500000000001"/>
    <n v="51.435000000000002"/>
    <n v="1.3"/>
    <n v="425.3"/>
    <n v="426.6"/>
    <n v="1.2889999999999999"/>
  </r>
  <r>
    <x v="10"/>
    <x v="10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5CCE63-81D0-435F-BC64-071DC2435BBA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6:M79" firstHeaderRow="1" firstDataRow="2" firstDataCol="1"/>
  <pivotFields count="8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Col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Power Usage (J)" fld="2" baseField="0" baseItem="0"/>
  </dataFields>
  <conditionalFormats count="1">
    <conditionalFormat priority="39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  <reference field="1" count="10" selected="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1CF83E-44EC-4568-B387-F34830AA0E18}" name="PivotTable8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4:M127" firstHeaderRow="1" firstDataRow="2" firstDataCol="1"/>
  <pivotFields count="8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Col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Power Usage (J)" fld="2" baseField="0" baseItem="0"/>
  </dataFields>
  <conditionalFormats count="1">
    <conditionalFormat priority="3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  <reference field="1" count="10" selected="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F26139-9967-439F-AAEE-49B5F6D2E472}" name="PivotTable6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2:M95" firstHeaderRow="1" firstDataRow="2" firstDataCol="1"/>
  <pivotFields count="8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Col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Power Usage (J)" fld="2" baseField="0" baseItem="0"/>
  </dataFields>
  <conditionalFormats count="1">
    <conditionalFormat priority="38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  <reference field="1" count="10" selected="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AAC337-ACE9-46F3-B796-2DF6D7FD834C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4:M47" firstHeaderRow="1" firstDataRow="2" firstDataCol="1"/>
  <pivotFields count="8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Col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Power Usage (J)" fld="2" baseField="0" baseItem="0"/>
  </dataFields>
  <conditionalFormats count="1">
    <conditionalFormat priority="4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  <reference field="1" count="10" selected="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E2A855-BE40-46DF-84BB-2C9EB9176A63}" name="PivotTable7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8:M111" firstHeaderRow="1" firstDataRow="2" firstDataCol="1"/>
  <pivotFields count="8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Col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Power Usage (J)" fld="2" baseField="0" baseItem="0"/>
  </dataFields>
  <conditionalFormats count="1">
    <conditionalFormat priority="3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  <reference field="1" count="10" selected="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9BD77F-84A2-4963-95C0-19F798DA8C91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M15" firstHeaderRow="1" firstDataRow="2" firstDataCol="1"/>
  <pivotFields count="8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Col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Power Usage (J)" fld="2" baseField="0" baseItem="0"/>
  </dataFields>
  <conditionalFormats count="1">
    <conditionalFormat priority="48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  <reference field="1" count="10" selected="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E32428-E875-42E5-90CD-1DD3CBDC7CF8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0:M63" firstHeaderRow="1" firstDataRow="2" firstDataCol="1"/>
  <pivotFields count="8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Col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Power Usage (J)" fld="2" baseField="0" baseItem="0"/>
  </dataFields>
  <conditionalFormats count="1">
    <conditionalFormat priority="4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  <reference field="1" count="10" selected="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3DD6DE-0B29-4F41-B138-463AD86B9418}" name="PivotTable9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0:M143" firstHeaderRow="1" firstDataRow="2" firstDataCol="1"/>
  <pivotFields count="8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Col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Power Usage (J)" fld="2" baseField="0" baseItem="0"/>
  </dataFields>
  <conditionalFormats count="1">
    <conditionalFormat priority="3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  <reference field="1" count="10" selected="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102BEB-ADDB-4A6C-8D8F-ABEBCE7BBD16}" name="PivotTable4" cacheId="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18:M31" firstHeaderRow="1" firstDataRow="2" firstDataCol="1"/>
  <pivotFields count="8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Col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Power Usage (J)" fld="2" baseField="0" baseItem="0"/>
  </dataFields>
  <conditionalFormats count="1">
    <conditionalFormat priority="4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  <reference field="1" count="10" selected="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89365D-64C7-472E-9DF4-FBCC10328967}" name="PivotTable10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6:M159" firstHeaderRow="1" firstDataRow="2" firstDataCol="1"/>
  <pivotFields count="8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Col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Power Usage (J)" fld="2" baseField="0" baseItem="0"/>
  </dataFields>
  <conditionalFormats count="1">
    <conditionalFormat priority="3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  <reference field="1" count="10" selected="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EC3DA0-91AE-4534-923B-7143A3D4A996}" name="PivotTable1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70:M183" firstHeaderRow="1" firstDataRow="2" firstDataCol="1"/>
  <pivotFields count="8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Col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Move Duration (s)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7B5027-53B1-443C-B91E-49ABE5FD55BC}" name="PivotTable9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0:M143" firstHeaderRow="1" firstDataRow="2" firstDataCol="1"/>
  <pivotFields count="8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Col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Tim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502685-D045-4E03-A066-589823E62D98}" name="PivotTable7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8:M111" firstHeaderRow="1" firstDataRow="2" firstDataCol="1"/>
  <pivotFields count="8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Col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Tim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F96BB9-A9C4-4604-AB4B-CECCC6D400DE}" name="PivotTable1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2:M15" firstHeaderRow="1" firstDataRow="2" firstDataCol="1"/>
  <pivotFields count="8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Col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Tim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E6FE9C-6286-4A47-A7DF-6C45D8B73061}" name="PivotTable10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6:M159" firstHeaderRow="1" firstDataRow="2" firstDataCol="1"/>
  <pivotFields count="8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Col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Tim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D82206-DCD2-4385-874D-3052623A2135}" name="PivotTable2" cacheId="5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66:M79" firstHeaderRow="1" firstDataRow="2" firstDataCol="1"/>
  <pivotFields count="8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Col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Tim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D7233F-C6F7-420C-94D9-1B3737118E5E}" name="PivotTable8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4:M127" firstHeaderRow="1" firstDataRow="2" firstDataCol="1"/>
  <pivotFields count="8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Col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Tim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F70BA1-4AFE-4025-B297-5E5A5C234FC4}" name="PivotTable4" cacheId="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18:M31" firstHeaderRow="1" firstDataRow="2" firstDataCol="1"/>
  <pivotFields count="8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Col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Tim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962257-691C-4B9C-8094-534F7C2E329D}" name="PivotTable6" cacheId="6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82:M95" firstHeaderRow="1" firstDataRow="2" firstDataCol="1"/>
  <pivotFields count="8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Col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Count of Time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725A05-6B98-4BB9-B9B7-DF4000F8C670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0:M63" firstHeaderRow="1" firstDataRow="2" firstDataCol="1"/>
  <pivotFields count="8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Col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Tim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C6DBB8-B96B-47C4-B7EC-64C95B518DAF}" name="PivotTable3" cacheId="3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34:M47" firstHeaderRow="1" firstDataRow="2" firstDataCol="1"/>
  <pivotFields count="8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Col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Tim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9.xml"/><Relationship Id="rId3" Type="http://schemas.openxmlformats.org/officeDocument/2006/relationships/pivotTable" Target="../pivotTables/pivotTable14.xml"/><Relationship Id="rId7" Type="http://schemas.openxmlformats.org/officeDocument/2006/relationships/pivotTable" Target="../pivotTables/pivotTable18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Relationship Id="rId6" Type="http://schemas.openxmlformats.org/officeDocument/2006/relationships/pivotTable" Target="../pivotTables/pivotTable17.xml"/><Relationship Id="rId5" Type="http://schemas.openxmlformats.org/officeDocument/2006/relationships/pivotTable" Target="../pivotTables/pivotTable16.xml"/><Relationship Id="rId10" Type="http://schemas.openxmlformats.org/officeDocument/2006/relationships/pivotTable" Target="../pivotTables/pivotTable21.xml"/><Relationship Id="rId4" Type="http://schemas.openxmlformats.org/officeDocument/2006/relationships/pivotTable" Target="../pivotTables/pivotTable15.xml"/><Relationship Id="rId9" Type="http://schemas.openxmlformats.org/officeDocument/2006/relationships/pivotTable" Target="../pivotTables/pivot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45D32-FD07-4AB2-AC8E-171A9D15B853}">
  <dimension ref="A1:H11"/>
  <sheetViews>
    <sheetView zoomScale="70" zoomScaleNormal="70" workbookViewId="0">
      <selection activeCell="C4" sqref="C4"/>
    </sheetView>
  </sheetViews>
  <sheetFormatPr defaultRowHeight="14.4" x14ac:dyDescent="0.3"/>
  <cols>
    <col min="1" max="1" width="13.44140625" customWidth="1"/>
    <col min="2" max="2" width="11.88671875" customWidth="1"/>
    <col min="3" max="3" width="10.6640625" customWidth="1"/>
  </cols>
  <sheetData>
    <row r="1" spans="1:8" x14ac:dyDescent="0.3">
      <c r="A1" t="s">
        <v>1</v>
      </c>
      <c r="B1" t="s">
        <v>14</v>
      </c>
      <c r="C1" t="s">
        <v>15</v>
      </c>
      <c r="G1" t="s">
        <v>0</v>
      </c>
    </row>
    <row r="2" spans="1:8" x14ac:dyDescent="0.3">
      <c r="A2">
        <v>10</v>
      </c>
      <c r="B2">
        <v>3.4409999999999998</v>
      </c>
      <c r="C2">
        <v>621.86000000000013</v>
      </c>
      <c r="D2">
        <f>1</f>
        <v>1</v>
      </c>
      <c r="G2">
        <v>10</v>
      </c>
      <c r="H2">
        <v>4.0069999999999997</v>
      </c>
    </row>
    <row r="3" spans="1:8" x14ac:dyDescent="0.3">
      <c r="A3">
        <v>20</v>
      </c>
      <c r="B3">
        <v>2.42</v>
      </c>
      <c r="C3">
        <v>570.18000000000018</v>
      </c>
      <c r="D3">
        <f>B3/$B$2</f>
        <v>0.70328392909038073</v>
      </c>
      <c r="G3">
        <v>20</v>
      </c>
      <c r="H3">
        <v>2.9239999999999999</v>
      </c>
    </row>
    <row r="4" spans="1:8" x14ac:dyDescent="0.3">
      <c r="A4">
        <v>30</v>
      </c>
      <c r="B4">
        <v>1.9950000000000001</v>
      </c>
      <c r="C4">
        <v>541.87</v>
      </c>
      <c r="D4">
        <f t="shared" ref="D4:D11" si="0">B4/$B$2</f>
        <v>0.57977332170880569</v>
      </c>
      <c r="G4">
        <v>30</v>
      </c>
      <c r="H4">
        <v>2.552</v>
      </c>
    </row>
    <row r="5" spans="1:8" x14ac:dyDescent="0.3">
      <c r="A5">
        <v>40</v>
      </c>
      <c r="B5">
        <v>1.742</v>
      </c>
      <c r="C5">
        <v>504.09000000000009</v>
      </c>
      <c r="D5">
        <f t="shared" si="0"/>
        <v>0.50624818366753854</v>
      </c>
      <c r="G5">
        <v>40</v>
      </c>
      <c r="H5">
        <v>2.3660000000000001</v>
      </c>
    </row>
    <row r="6" spans="1:8" x14ac:dyDescent="0.3">
      <c r="A6">
        <v>50</v>
      </c>
      <c r="B6">
        <v>1.599</v>
      </c>
      <c r="C6">
        <v>511.9199999999999</v>
      </c>
      <c r="D6">
        <f t="shared" si="0"/>
        <v>0.46469049694856146</v>
      </c>
      <c r="G6">
        <v>50</v>
      </c>
      <c r="H6">
        <v>2.2629999999999999</v>
      </c>
    </row>
    <row r="7" spans="1:8" x14ac:dyDescent="0.3">
      <c r="A7">
        <v>60</v>
      </c>
      <c r="B7">
        <v>1.4990000000000001</v>
      </c>
      <c r="C7">
        <v>470.73</v>
      </c>
      <c r="D7">
        <f t="shared" si="0"/>
        <v>0.43562917756466146</v>
      </c>
      <c r="G7">
        <v>60</v>
      </c>
      <c r="H7">
        <v>2.198</v>
      </c>
    </row>
    <row r="8" spans="1:8" x14ac:dyDescent="0.3">
      <c r="A8">
        <v>70</v>
      </c>
      <c r="B8">
        <v>1.4279999999999999</v>
      </c>
      <c r="C8">
        <v>470.3</v>
      </c>
      <c r="D8">
        <f t="shared" si="0"/>
        <v>0.41499564080209239</v>
      </c>
      <c r="G8">
        <v>70</v>
      </c>
      <c r="H8">
        <v>2.1469999999999998</v>
      </c>
    </row>
    <row r="9" spans="1:8" x14ac:dyDescent="0.3">
      <c r="A9">
        <v>80</v>
      </c>
      <c r="B9">
        <v>1.381</v>
      </c>
      <c r="C9">
        <v>462.99000000000007</v>
      </c>
      <c r="D9">
        <f t="shared" si="0"/>
        <v>0.40133682069165943</v>
      </c>
      <c r="G9">
        <v>80</v>
      </c>
      <c r="H9">
        <v>2.1150000000000002</v>
      </c>
    </row>
    <row r="10" spans="1:8" x14ac:dyDescent="0.3">
      <c r="A10">
        <v>90</v>
      </c>
      <c r="B10">
        <v>1.3460000000000001</v>
      </c>
      <c r="C10">
        <v>457.11000000000007</v>
      </c>
      <c r="D10">
        <f t="shared" si="0"/>
        <v>0.39116535890729442</v>
      </c>
      <c r="G10">
        <v>90</v>
      </c>
      <c r="H10">
        <v>2.093</v>
      </c>
    </row>
    <row r="11" spans="1:8" x14ac:dyDescent="0.3">
      <c r="A11">
        <v>100</v>
      </c>
      <c r="B11">
        <v>1.3169999999999999</v>
      </c>
      <c r="C11">
        <v>462.22000000000008</v>
      </c>
      <c r="D11">
        <f t="shared" si="0"/>
        <v>0.38273757628596339</v>
      </c>
      <c r="G11">
        <v>100</v>
      </c>
      <c r="H11">
        <v>2.0750000000000002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EC95C-7E40-4067-9439-ADCE7CC1EAF2}">
  <dimension ref="A1:G11"/>
  <sheetViews>
    <sheetView zoomScale="70" zoomScaleNormal="70" workbookViewId="0">
      <selection activeCell="C2" activeCellId="1" sqref="A2:A11 C2:C11"/>
    </sheetView>
  </sheetViews>
  <sheetFormatPr defaultRowHeight="14.4" x14ac:dyDescent="0.3"/>
  <cols>
    <col min="1" max="1" width="13.44140625" customWidth="1"/>
    <col min="2" max="2" width="12.6640625" customWidth="1"/>
    <col min="8" max="8" width="6.5546875" customWidth="1"/>
  </cols>
  <sheetData>
    <row r="1" spans="1:7" x14ac:dyDescent="0.3">
      <c r="A1" t="s">
        <v>2</v>
      </c>
      <c r="B1" t="s">
        <v>14</v>
      </c>
      <c r="G1" t="s">
        <v>13</v>
      </c>
    </row>
    <row r="2" spans="1:7" x14ac:dyDescent="0.3">
      <c r="A2">
        <v>10</v>
      </c>
      <c r="B2">
        <v>8.7759999999999998</v>
      </c>
      <c r="C2">
        <v>1070.4999999999998</v>
      </c>
      <c r="G2" t="s">
        <v>3</v>
      </c>
    </row>
    <row r="3" spans="1:7" x14ac:dyDescent="0.3">
      <c r="A3">
        <v>20</v>
      </c>
      <c r="B3">
        <v>4.548</v>
      </c>
      <c r="C3">
        <v>676.71</v>
      </c>
      <c r="G3" t="s">
        <v>4</v>
      </c>
    </row>
    <row r="4" spans="1:7" x14ac:dyDescent="0.3">
      <c r="A4">
        <v>30</v>
      </c>
      <c r="B4">
        <v>3.1579999999999999</v>
      </c>
      <c r="C4">
        <v>555.47000000000014</v>
      </c>
      <c r="G4" t="s">
        <v>5</v>
      </c>
    </row>
    <row r="5" spans="1:7" x14ac:dyDescent="0.3">
      <c r="A5">
        <v>40</v>
      </c>
      <c r="B5">
        <v>2.476</v>
      </c>
      <c r="C5">
        <v>520.12</v>
      </c>
      <c r="G5" t="s">
        <v>6</v>
      </c>
    </row>
    <row r="6" spans="1:7" x14ac:dyDescent="0.3">
      <c r="A6">
        <v>50</v>
      </c>
      <c r="B6">
        <v>2.073</v>
      </c>
      <c r="C6">
        <v>521.12</v>
      </c>
      <c r="G6" t="s">
        <v>7</v>
      </c>
    </row>
    <row r="7" spans="1:7" x14ac:dyDescent="0.3">
      <c r="A7">
        <v>60</v>
      </c>
      <c r="B7">
        <v>1.8129999999999999</v>
      </c>
      <c r="C7">
        <v>499.42000000000007</v>
      </c>
      <c r="G7" t="s">
        <v>8</v>
      </c>
    </row>
    <row r="8" spans="1:7" x14ac:dyDescent="0.3">
      <c r="A8">
        <v>70</v>
      </c>
      <c r="B8">
        <v>1.63</v>
      </c>
      <c r="C8">
        <v>441.45000000000005</v>
      </c>
      <c r="G8" t="s">
        <v>9</v>
      </c>
    </row>
    <row r="9" spans="1:7" x14ac:dyDescent="0.3">
      <c r="A9">
        <v>80</v>
      </c>
      <c r="B9">
        <v>1.4970000000000001</v>
      </c>
      <c r="C9">
        <v>501.14999999999992</v>
      </c>
      <c r="G9" t="s">
        <v>10</v>
      </c>
    </row>
    <row r="10" spans="1:7" x14ac:dyDescent="0.3">
      <c r="A10">
        <v>90</v>
      </c>
      <c r="B10">
        <v>1.397</v>
      </c>
      <c r="C10">
        <v>469.23</v>
      </c>
      <c r="G10" t="s">
        <v>11</v>
      </c>
    </row>
    <row r="11" spans="1:7" x14ac:dyDescent="0.3">
      <c r="A11">
        <v>100</v>
      </c>
      <c r="B11">
        <v>1.3169999999999999</v>
      </c>
      <c r="C11">
        <v>482.96</v>
      </c>
      <c r="G11" t="s">
        <v>12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0D35C-4953-441A-8BF7-4876E7D0ABCF}">
  <dimension ref="A1:H101"/>
  <sheetViews>
    <sheetView workbookViewId="0">
      <selection activeCell="L18" sqref="L18"/>
    </sheetView>
  </sheetViews>
  <sheetFormatPr defaultRowHeight="14.4" x14ac:dyDescent="0.3"/>
  <cols>
    <col min="2" max="2" width="13.6640625" customWidth="1"/>
    <col min="3" max="3" width="17.5546875" customWidth="1"/>
    <col min="4" max="4" width="20" customWidth="1"/>
    <col min="5" max="7" width="8.88671875" customWidth="1"/>
  </cols>
  <sheetData>
    <row r="1" spans="1:8" x14ac:dyDescent="0.3">
      <c r="A1" t="s">
        <v>16</v>
      </c>
      <c r="B1" t="s">
        <v>17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14</v>
      </c>
    </row>
    <row r="2" spans="1:8" x14ac:dyDescent="0.3">
      <c r="A2">
        <v>10</v>
      </c>
      <c r="B2">
        <v>10</v>
      </c>
      <c r="C2">
        <v>1145.155</v>
      </c>
      <c r="D2">
        <v>0.39</v>
      </c>
      <c r="E2">
        <v>9.5</v>
      </c>
      <c r="F2">
        <v>6.7</v>
      </c>
      <c r="G2">
        <v>16.2</v>
      </c>
      <c r="H2">
        <v>9.6660000000000004</v>
      </c>
    </row>
    <row r="3" spans="1:8" x14ac:dyDescent="0.3">
      <c r="A3">
        <v>10</v>
      </c>
      <c r="B3">
        <v>20</v>
      </c>
      <c r="C3">
        <v>1092.605</v>
      </c>
      <c r="D3">
        <v>0.59250000000000003</v>
      </c>
      <c r="E3">
        <v>9</v>
      </c>
      <c r="F3">
        <v>17.399999999999999</v>
      </c>
      <c r="G3">
        <v>26.4</v>
      </c>
      <c r="H3">
        <v>9.1669999999999998</v>
      </c>
    </row>
    <row r="4" spans="1:8" x14ac:dyDescent="0.3">
      <c r="A4">
        <v>10</v>
      </c>
      <c r="B4">
        <v>30</v>
      </c>
      <c r="C4">
        <v>1082.29</v>
      </c>
      <c r="D4">
        <v>0.39</v>
      </c>
      <c r="E4">
        <v>8.9</v>
      </c>
      <c r="F4">
        <v>27.5</v>
      </c>
      <c r="G4">
        <v>36.4</v>
      </c>
      <c r="H4">
        <v>9</v>
      </c>
    </row>
    <row r="5" spans="1:8" x14ac:dyDescent="0.3">
      <c r="A5">
        <v>10</v>
      </c>
      <c r="B5">
        <v>40</v>
      </c>
      <c r="C5">
        <v>1072.5350000000001</v>
      </c>
      <c r="D5">
        <v>0.4375</v>
      </c>
      <c r="E5">
        <v>8.8000000000000007</v>
      </c>
      <c r="F5">
        <v>37.5</v>
      </c>
      <c r="G5">
        <v>46.3</v>
      </c>
      <c r="H5">
        <v>8.92</v>
      </c>
    </row>
    <row r="6" spans="1:8" x14ac:dyDescent="0.3">
      <c r="A6">
        <v>10</v>
      </c>
      <c r="B6">
        <v>50</v>
      </c>
      <c r="C6">
        <v>1072.615</v>
      </c>
      <c r="D6">
        <v>0.61250000000000004</v>
      </c>
      <c r="E6">
        <v>8.8000000000000007</v>
      </c>
      <c r="F6">
        <v>47.4</v>
      </c>
      <c r="G6">
        <v>56.2</v>
      </c>
      <c r="H6">
        <v>8.8680000000000003</v>
      </c>
    </row>
    <row r="7" spans="1:8" x14ac:dyDescent="0.3">
      <c r="A7">
        <v>10</v>
      </c>
      <c r="B7">
        <v>60</v>
      </c>
      <c r="C7">
        <v>1061.03</v>
      </c>
      <c r="D7">
        <v>0.90749999999999997</v>
      </c>
      <c r="E7">
        <v>8.6999999999999993</v>
      </c>
      <c r="F7">
        <v>57.3</v>
      </c>
      <c r="G7">
        <v>66</v>
      </c>
      <c r="H7">
        <v>8.8320000000000007</v>
      </c>
    </row>
    <row r="8" spans="1:8" x14ac:dyDescent="0.3">
      <c r="A8">
        <v>10</v>
      </c>
      <c r="B8">
        <v>70</v>
      </c>
      <c r="C8">
        <v>1062.72</v>
      </c>
      <c r="D8">
        <v>0.78249999999999997</v>
      </c>
      <c r="E8">
        <v>8.6999999999999993</v>
      </c>
      <c r="F8">
        <v>67.099999999999994</v>
      </c>
      <c r="G8">
        <v>75.8</v>
      </c>
      <c r="H8">
        <v>8.8160000000000007</v>
      </c>
    </row>
    <row r="9" spans="1:8" x14ac:dyDescent="0.3">
      <c r="A9">
        <v>10</v>
      </c>
      <c r="B9">
        <v>80</v>
      </c>
      <c r="C9">
        <v>1070.675</v>
      </c>
      <c r="D9">
        <v>0.53749999999999998</v>
      </c>
      <c r="E9">
        <v>8.8000000000000007</v>
      </c>
      <c r="F9">
        <v>76.900000000000006</v>
      </c>
      <c r="G9">
        <v>85.7</v>
      </c>
      <c r="H9">
        <v>8.7949999999999999</v>
      </c>
    </row>
    <row r="10" spans="1:8" x14ac:dyDescent="0.3">
      <c r="A10">
        <v>10</v>
      </c>
      <c r="B10">
        <v>90</v>
      </c>
      <c r="C10">
        <v>1068.43</v>
      </c>
      <c r="D10">
        <v>0.83250000000000002</v>
      </c>
      <c r="E10">
        <v>8.8000000000000007</v>
      </c>
      <c r="F10">
        <v>86.7</v>
      </c>
      <c r="G10">
        <v>95.5</v>
      </c>
      <c r="H10">
        <v>8.7859999999999996</v>
      </c>
    </row>
    <row r="11" spans="1:8" x14ac:dyDescent="0.3">
      <c r="A11">
        <v>10</v>
      </c>
      <c r="B11">
        <v>100</v>
      </c>
      <c r="C11">
        <v>1056.845</v>
      </c>
      <c r="D11">
        <v>0.59750000000000003</v>
      </c>
      <c r="E11">
        <v>8.6999999999999993</v>
      </c>
      <c r="F11">
        <v>96.6</v>
      </c>
      <c r="G11">
        <v>105.3</v>
      </c>
      <c r="H11">
        <v>8.7759999999999998</v>
      </c>
    </row>
    <row r="12" spans="1:8" x14ac:dyDescent="0.3">
      <c r="A12">
        <v>20</v>
      </c>
      <c r="B12">
        <v>10</v>
      </c>
      <c r="C12">
        <v>785.18</v>
      </c>
      <c r="D12">
        <v>0.34250000000000003</v>
      </c>
      <c r="E12">
        <v>5.6</v>
      </c>
      <c r="F12">
        <v>106.4</v>
      </c>
      <c r="G12">
        <v>112</v>
      </c>
      <c r="H12">
        <v>5.7910000000000004</v>
      </c>
    </row>
    <row r="13" spans="1:8" x14ac:dyDescent="0.3">
      <c r="A13">
        <v>20</v>
      </c>
      <c r="B13">
        <v>20</v>
      </c>
      <c r="C13">
        <v>713.255</v>
      </c>
      <c r="D13">
        <v>0.59499999999999997</v>
      </c>
      <c r="E13">
        <v>4.9000000000000004</v>
      </c>
      <c r="F13">
        <v>113.2</v>
      </c>
      <c r="G13">
        <v>118.1</v>
      </c>
      <c r="H13">
        <v>5.0880000000000001</v>
      </c>
    </row>
    <row r="14" spans="1:8" x14ac:dyDescent="0.3">
      <c r="A14">
        <v>20</v>
      </c>
      <c r="B14">
        <v>30</v>
      </c>
      <c r="C14">
        <v>692.68</v>
      </c>
      <c r="D14">
        <v>0.55000000000000004</v>
      </c>
      <c r="E14">
        <v>4.7</v>
      </c>
      <c r="F14">
        <v>119.3</v>
      </c>
      <c r="G14">
        <v>124</v>
      </c>
      <c r="H14">
        <v>4.8540000000000001</v>
      </c>
    </row>
    <row r="15" spans="1:8" x14ac:dyDescent="0.3">
      <c r="A15">
        <v>20</v>
      </c>
      <c r="B15">
        <v>40</v>
      </c>
      <c r="C15">
        <v>683.14499999999998</v>
      </c>
      <c r="D15">
        <v>0.79749999999999999</v>
      </c>
      <c r="E15">
        <v>4.5999999999999996</v>
      </c>
      <c r="F15">
        <v>125.1</v>
      </c>
      <c r="G15">
        <v>129.69999999999999</v>
      </c>
      <c r="H15">
        <v>4.74</v>
      </c>
    </row>
    <row r="16" spans="1:8" x14ac:dyDescent="0.3">
      <c r="A16">
        <v>20</v>
      </c>
      <c r="B16">
        <v>50</v>
      </c>
      <c r="C16">
        <v>694.32</v>
      </c>
      <c r="D16">
        <v>0.8075</v>
      </c>
      <c r="E16">
        <v>4.7</v>
      </c>
      <c r="F16">
        <v>130.80000000000001</v>
      </c>
      <c r="G16">
        <v>135.5</v>
      </c>
      <c r="H16">
        <v>4.6660000000000004</v>
      </c>
    </row>
    <row r="17" spans="1:8" x14ac:dyDescent="0.3">
      <c r="A17">
        <v>20</v>
      </c>
      <c r="B17">
        <v>60</v>
      </c>
      <c r="C17">
        <v>683.82500000000005</v>
      </c>
      <c r="D17">
        <v>0.44750000000000001</v>
      </c>
      <c r="E17">
        <v>4.5999999999999996</v>
      </c>
      <c r="F17">
        <v>136.5</v>
      </c>
      <c r="G17">
        <v>141.1</v>
      </c>
      <c r="H17">
        <v>4.6239999999999997</v>
      </c>
    </row>
    <row r="18" spans="1:8" x14ac:dyDescent="0.3">
      <c r="A18">
        <v>20</v>
      </c>
      <c r="B18">
        <v>70</v>
      </c>
      <c r="C18">
        <v>682.23</v>
      </c>
      <c r="D18">
        <v>0.60250000000000004</v>
      </c>
      <c r="E18">
        <v>4.5999999999999996</v>
      </c>
      <c r="F18">
        <v>142.1</v>
      </c>
      <c r="G18">
        <v>146.69999999999999</v>
      </c>
      <c r="H18">
        <v>4.5919999999999996</v>
      </c>
    </row>
    <row r="19" spans="1:8" x14ac:dyDescent="0.3">
      <c r="A19">
        <v>20</v>
      </c>
      <c r="B19">
        <v>80</v>
      </c>
      <c r="C19">
        <v>682.67499999999995</v>
      </c>
      <c r="D19">
        <v>0.57750000000000001</v>
      </c>
      <c r="E19">
        <v>4.5999999999999996</v>
      </c>
      <c r="F19">
        <v>147.69999999999999</v>
      </c>
      <c r="G19">
        <v>152.30000000000001</v>
      </c>
      <c r="H19">
        <v>4.5720000000000001</v>
      </c>
    </row>
    <row r="20" spans="1:8" x14ac:dyDescent="0.3">
      <c r="A20">
        <v>20</v>
      </c>
      <c r="B20">
        <v>90</v>
      </c>
      <c r="C20">
        <v>672.6</v>
      </c>
      <c r="D20">
        <v>0.64749999999999996</v>
      </c>
      <c r="E20">
        <v>4.5</v>
      </c>
      <c r="F20">
        <v>153.30000000000001</v>
      </c>
      <c r="G20">
        <v>157.80000000000001</v>
      </c>
      <c r="H20">
        <v>4.5620000000000003</v>
      </c>
    </row>
    <row r="21" spans="1:8" x14ac:dyDescent="0.3">
      <c r="A21">
        <v>20</v>
      </c>
      <c r="B21">
        <v>100</v>
      </c>
      <c r="C21">
        <v>671.48</v>
      </c>
      <c r="D21">
        <v>1.2075</v>
      </c>
      <c r="E21">
        <v>4.5</v>
      </c>
      <c r="F21">
        <v>158.9</v>
      </c>
      <c r="G21">
        <v>163.4</v>
      </c>
      <c r="H21">
        <v>4.548</v>
      </c>
    </row>
    <row r="22" spans="1:8" x14ac:dyDescent="0.3">
      <c r="A22">
        <v>30</v>
      </c>
      <c r="B22">
        <v>10</v>
      </c>
      <c r="C22">
        <v>676.76</v>
      </c>
      <c r="D22">
        <v>0.32750000000000001</v>
      </c>
      <c r="E22">
        <v>4.4000000000000004</v>
      </c>
      <c r="F22">
        <v>164.6</v>
      </c>
      <c r="G22">
        <v>169</v>
      </c>
      <c r="H22">
        <v>4.68</v>
      </c>
    </row>
    <row r="23" spans="1:8" x14ac:dyDescent="0.3">
      <c r="A23">
        <v>30</v>
      </c>
      <c r="B23">
        <v>20</v>
      </c>
      <c r="C23">
        <v>611.80999999999995</v>
      </c>
      <c r="D23">
        <v>0.68500000000000005</v>
      </c>
      <c r="E23">
        <v>3.7</v>
      </c>
      <c r="F23">
        <v>170.2</v>
      </c>
      <c r="G23">
        <v>173.9</v>
      </c>
      <c r="H23">
        <v>3.8149999999999999</v>
      </c>
    </row>
    <row r="24" spans="1:8" x14ac:dyDescent="0.3">
      <c r="A24">
        <v>30</v>
      </c>
      <c r="B24">
        <v>30</v>
      </c>
      <c r="C24">
        <v>586.66499999999996</v>
      </c>
      <c r="D24">
        <v>0.92</v>
      </c>
      <c r="E24">
        <v>3.5</v>
      </c>
      <c r="F24">
        <v>175</v>
      </c>
      <c r="G24">
        <v>178.5</v>
      </c>
      <c r="H24">
        <v>3.5270000000000001</v>
      </c>
    </row>
    <row r="25" spans="1:8" x14ac:dyDescent="0.3">
      <c r="A25">
        <v>30</v>
      </c>
      <c r="B25">
        <v>40</v>
      </c>
      <c r="C25">
        <v>569.22500000000002</v>
      </c>
      <c r="D25">
        <v>0.95750000000000002</v>
      </c>
      <c r="E25">
        <v>3.3</v>
      </c>
      <c r="F25">
        <v>179.6</v>
      </c>
      <c r="G25">
        <v>182.9</v>
      </c>
      <c r="H25">
        <v>3.3849999999999998</v>
      </c>
    </row>
    <row r="26" spans="1:8" x14ac:dyDescent="0.3">
      <c r="A26">
        <v>30</v>
      </c>
      <c r="B26">
        <v>50</v>
      </c>
      <c r="C26">
        <v>561.42999999999995</v>
      </c>
      <c r="D26">
        <v>0.72499999999999998</v>
      </c>
      <c r="E26">
        <v>3.3</v>
      </c>
      <c r="F26">
        <v>183.9</v>
      </c>
      <c r="G26">
        <v>187.2</v>
      </c>
      <c r="H26">
        <v>3.3010000000000002</v>
      </c>
    </row>
    <row r="27" spans="1:8" x14ac:dyDescent="0.3">
      <c r="A27">
        <v>30</v>
      </c>
      <c r="B27">
        <v>60</v>
      </c>
      <c r="C27">
        <v>559.20000000000005</v>
      </c>
      <c r="D27">
        <v>1.1375</v>
      </c>
      <c r="E27">
        <v>3.2</v>
      </c>
      <c r="F27">
        <v>188.2</v>
      </c>
      <c r="G27">
        <v>191.4</v>
      </c>
      <c r="H27">
        <v>3.25</v>
      </c>
    </row>
    <row r="28" spans="1:8" x14ac:dyDescent="0.3">
      <c r="A28">
        <v>30</v>
      </c>
      <c r="B28">
        <v>70</v>
      </c>
      <c r="C28">
        <v>568.9</v>
      </c>
      <c r="D28">
        <v>0.92749999999999999</v>
      </c>
      <c r="E28">
        <v>3.2</v>
      </c>
      <c r="F28">
        <v>192.5</v>
      </c>
      <c r="G28">
        <v>195.7</v>
      </c>
      <c r="H28">
        <v>3.2130000000000001</v>
      </c>
    </row>
    <row r="29" spans="1:8" x14ac:dyDescent="0.3">
      <c r="A29">
        <v>30</v>
      </c>
      <c r="B29">
        <v>80</v>
      </c>
      <c r="C29">
        <v>541.59500000000003</v>
      </c>
      <c r="D29">
        <v>0.86</v>
      </c>
      <c r="E29">
        <v>3.1</v>
      </c>
      <c r="F29">
        <v>196.7</v>
      </c>
      <c r="G29">
        <v>199.8</v>
      </c>
      <c r="H29">
        <v>3.19</v>
      </c>
    </row>
    <row r="30" spans="1:8" x14ac:dyDescent="0.3">
      <c r="A30">
        <v>30</v>
      </c>
      <c r="B30">
        <v>90</v>
      </c>
      <c r="C30">
        <v>557.45500000000004</v>
      </c>
      <c r="D30">
        <v>0.80249999999999999</v>
      </c>
      <c r="E30">
        <v>3.1</v>
      </c>
      <c r="F30">
        <v>200.9</v>
      </c>
      <c r="G30">
        <v>204</v>
      </c>
      <c r="H30">
        <v>3.1720000000000002</v>
      </c>
    </row>
    <row r="31" spans="1:8" x14ac:dyDescent="0.3">
      <c r="A31">
        <v>30</v>
      </c>
      <c r="B31">
        <v>100</v>
      </c>
      <c r="C31">
        <v>531.19500000000005</v>
      </c>
      <c r="D31">
        <v>0.94750000000000001</v>
      </c>
      <c r="E31">
        <v>3</v>
      </c>
      <c r="F31">
        <v>205.1</v>
      </c>
      <c r="G31">
        <v>208.1</v>
      </c>
      <c r="H31">
        <v>3.1589999999999998</v>
      </c>
    </row>
    <row r="32" spans="1:8" x14ac:dyDescent="0.3">
      <c r="A32">
        <v>40</v>
      </c>
      <c r="B32">
        <v>10</v>
      </c>
      <c r="C32">
        <v>636.53499999999997</v>
      </c>
      <c r="D32">
        <v>0.40500000000000003</v>
      </c>
      <c r="E32">
        <v>4</v>
      </c>
      <c r="F32">
        <v>209.4</v>
      </c>
      <c r="G32">
        <v>213.4</v>
      </c>
      <c r="H32">
        <v>4.2370000000000001</v>
      </c>
    </row>
    <row r="33" spans="1:8" x14ac:dyDescent="0.3">
      <c r="A33">
        <v>40</v>
      </c>
      <c r="B33">
        <v>20</v>
      </c>
      <c r="C33">
        <v>563.20500000000004</v>
      </c>
      <c r="D33">
        <v>0.5625</v>
      </c>
      <c r="E33">
        <v>3.1</v>
      </c>
      <c r="F33">
        <v>214.6</v>
      </c>
      <c r="G33">
        <v>217.7</v>
      </c>
      <c r="H33">
        <v>3.2360000000000002</v>
      </c>
    </row>
    <row r="34" spans="1:8" x14ac:dyDescent="0.3">
      <c r="A34">
        <v>40</v>
      </c>
      <c r="B34">
        <v>30</v>
      </c>
      <c r="C34">
        <v>535.78</v>
      </c>
      <c r="D34">
        <v>0.8125</v>
      </c>
      <c r="E34">
        <v>2.8</v>
      </c>
      <c r="F34">
        <v>218.8</v>
      </c>
      <c r="G34">
        <v>221.6</v>
      </c>
      <c r="H34">
        <v>2.9039999999999999</v>
      </c>
    </row>
    <row r="35" spans="1:8" x14ac:dyDescent="0.3">
      <c r="A35">
        <v>40</v>
      </c>
      <c r="B35">
        <v>40</v>
      </c>
      <c r="C35">
        <v>513.21500000000003</v>
      </c>
      <c r="D35">
        <v>0.62250000000000005</v>
      </c>
      <c r="E35">
        <v>2.7</v>
      </c>
      <c r="F35">
        <v>222.7</v>
      </c>
      <c r="G35">
        <v>225.4</v>
      </c>
      <c r="H35">
        <v>2.7360000000000002</v>
      </c>
    </row>
    <row r="36" spans="1:8" x14ac:dyDescent="0.3">
      <c r="A36">
        <v>40</v>
      </c>
      <c r="B36">
        <v>50</v>
      </c>
      <c r="C36">
        <v>503.57</v>
      </c>
      <c r="D36">
        <v>1.2775000000000001</v>
      </c>
      <c r="E36">
        <v>2.5</v>
      </c>
      <c r="F36">
        <v>226.5</v>
      </c>
      <c r="G36">
        <v>229</v>
      </c>
      <c r="H36">
        <v>2.6419999999999999</v>
      </c>
    </row>
    <row r="37" spans="1:8" x14ac:dyDescent="0.3">
      <c r="A37">
        <v>40</v>
      </c>
      <c r="B37">
        <v>60</v>
      </c>
      <c r="C37">
        <v>514.86</v>
      </c>
      <c r="D37">
        <v>0.73250000000000004</v>
      </c>
      <c r="E37">
        <v>2.5</v>
      </c>
      <c r="F37">
        <v>230.1</v>
      </c>
      <c r="G37">
        <v>232.6</v>
      </c>
      <c r="H37">
        <v>2.5819999999999999</v>
      </c>
    </row>
    <row r="38" spans="1:8" x14ac:dyDescent="0.3">
      <c r="A38">
        <v>40</v>
      </c>
      <c r="B38">
        <v>70</v>
      </c>
      <c r="C38">
        <v>499.1</v>
      </c>
      <c r="D38">
        <v>0.55500000000000005</v>
      </c>
      <c r="E38">
        <v>2.4</v>
      </c>
      <c r="F38">
        <v>233.7</v>
      </c>
      <c r="G38">
        <v>236.1</v>
      </c>
      <c r="H38">
        <v>2.5409999999999999</v>
      </c>
    </row>
    <row r="39" spans="1:8" x14ac:dyDescent="0.3">
      <c r="A39">
        <v>40</v>
      </c>
      <c r="B39">
        <v>80</v>
      </c>
      <c r="C39">
        <v>489.17500000000001</v>
      </c>
      <c r="D39">
        <v>1.43</v>
      </c>
      <c r="E39">
        <v>2.4</v>
      </c>
      <c r="F39">
        <v>237.2</v>
      </c>
      <c r="G39">
        <v>239.6</v>
      </c>
      <c r="H39">
        <v>2.5139999999999998</v>
      </c>
    </row>
    <row r="40" spans="1:8" x14ac:dyDescent="0.3">
      <c r="A40">
        <v>40</v>
      </c>
      <c r="B40">
        <v>90</v>
      </c>
      <c r="C40">
        <v>494.8</v>
      </c>
      <c r="D40">
        <v>0.94750000000000001</v>
      </c>
      <c r="E40">
        <v>2.4</v>
      </c>
      <c r="F40">
        <v>240.7</v>
      </c>
      <c r="G40">
        <v>243.1</v>
      </c>
      <c r="H40">
        <v>2.496</v>
      </c>
    </row>
    <row r="41" spans="1:8" x14ac:dyDescent="0.3">
      <c r="A41">
        <v>40</v>
      </c>
      <c r="B41">
        <v>100</v>
      </c>
      <c r="C41">
        <v>533.40499999999997</v>
      </c>
      <c r="D41">
        <v>1.4175</v>
      </c>
      <c r="E41">
        <v>2.5</v>
      </c>
      <c r="F41">
        <v>244.2</v>
      </c>
      <c r="G41">
        <v>246.7</v>
      </c>
      <c r="H41">
        <v>2.4750000000000001</v>
      </c>
    </row>
    <row r="42" spans="1:8" x14ac:dyDescent="0.3">
      <c r="A42">
        <v>50</v>
      </c>
      <c r="B42">
        <v>10</v>
      </c>
      <c r="C42">
        <v>615.02499999999998</v>
      </c>
      <c r="D42">
        <v>0.4375</v>
      </c>
      <c r="E42">
        <v>3.7</v>
      </c>
      <c r="F42">
        <v>247.9</v>
      </c>
      <c r="G42">
        <v>251.6</v>
      </c>
      <c r="H42">
        <v>4.0069999999999997</v>
      </c>
    </row>
    <row r="43" spans="1:8" x14ac:dyDescent="0.3">
      <c r="A43">
        <v>50</v>
      </c>
      <c r="B43">
        <v>20</v>
      </c>
      <c r="C43">
        <v>553.75</v>
      </c>
      <c r="D43">
        <v>0.71250000000000002</v>
      </c>
      <c r="E43">
        <v>2.8</v>
      </c>
      <c r="F43">
        <v>252.8</v>
      </c>
      <c r="G43">
        <v>255.6</v>
      </c>
      <c r="H43">
        <v>2.9220000000000002</v>
      </c>
    </row>
    <row r="44" spans="1:8" x14ac:dyDescent="0.3">
      <c r="A44">
        <v>50</v>
      </c>
      <c r="B44">
        <v>30</v>
      </c>
      <c r="C44">
        <v>515.34</v>
      </c>
      <c r="D44">
        <v>0.80500000000000005</v>
      </c>
      <c r="E44">
        <v>2.4</v>
      </c>
      <c r="F44">
        <v>256.7</v>
      </c>
      <c r="G44">
        <v>259.10000000000002</v>
      </c>
      <c r="H44">
        <v>2.5499999999999998</v>
      </c>
    </row>
    <row r="45" spans="1:8" x14ac:dyDescent="0.3">
      <c r="A45">
        <v>50</v>
      </c>
      <c r="B45">
        <v>40</v>
      </c>
      <c r="C45">
        <v>508.34500000000003</v>
      </c>
      <c r="D45">
        <v>1.0974999999999999</v>
      </c>
      <c r="E45">
        <v>2.2000000000000002</v>
      </c>
      <c r="F45">
        <v>260.3</v>
      </c>
      <c r="G45">
        <v>262.5</v>
      </c>
      <c r="H45">
        <v>2.3690000000000002</v>
      </c>
    </row>
    <row r="46" spans="1:8" x14ac:dyDescent="0.3">
      <c r="A46">
        <v>50</v>
      </c>
      <c r="B46">
        <v>50</v>
      </c>
      <c r="C46">
        <v>507.16</v>
      </c>
      <c r="D46">
        <v>1.0275000000000001</v>
      </c>
      <c r="E46">
        <v>2.2000000000000002</v>
      </c>
      <c r="F46">
        <v>263.60000000000002</v>
      </c>
      <c r="G46">
        <v>265.8</v>
      </c>
      <c r="H46">
        <v>2.2639999999999998</v>
      </c>
    </row>
    <row r="47" spans="1:8" x14ac:dyDescent="0.3">
      <c r="A47">
        <v>50</v>
      </c>
      <c r="B47">
        <v>60</v>
      </c>
      <c r="C47">
        <v>501.24</v>
      </c>
      <c r="D47">
        <v>0.85750000000000004</v>
      </c>
      <c r="E47">
        <v>2.1</v>
      </c>
      <c r="F47">
        <v>266.89999999999998</v>
      </c>
      <c r="G47">
        <v>269</v>
      </c>
      <c r="H47">
        <v>2.1949999999999998</v>
      </c>
    </row>
    <row r="48" spans="1:8" x14ac:dyDescent="0.3">
      <c r="A48">
        <v>50</v>
      </c>
      <c r="B48">
        <v>70</v>
      </c>
      <c r="C48">
        <v>487.185</v>
      </c>
      <c r="D48">
        <v>0.99250000000000005</v>
      </c>
      <c r="E48">
        <v>2</v>
      </c>
      <c r="F48">
        <v>270.10000000000002</v>
      </c>
      <c r="G48">
        <v>272.10000000000002</v>
      </c>
      <c r="H48">
        <v>2.1469999999999998</v>
      </c>
    </row>
    <row r="49" spans="1:8" x14ac:dyDescent="0.3">
      <c r="A49">
        <v>50</v>
      </c>
      <c r="B49">
        <v>80</v>
      </c>
      <c r="C49">
        <v>485.34500000000003</v>
      </c>
      <c r="D49">
        <v>0.81499999999999995</v>
      </c>
      <c r="E49">
        <v>2</v>
      </c>
      <c r="F49">
        <v>273.2</v>
      </c>
      <c r="G49">
        <v>275.2</v>
      </c>
      <c r="H49">
        <v>2.12</v>
      </c>
    </row>
    <row r="50" spans="1:8" x14ac:dyDescent="0.3">
      <c r="A50">
        <v>50</v>
      </c>
      <c r="B50">
        <v>90</v>
      </c>
      <c r="C50">
        <v>478.27499999999998</v>
      </c>
      <c r="D50">
        <v>1.2050000000000001</v>
      </c>
      <c r="E50">
        <v>2</v>
      </c>
      <c r="F50">
        <v>276.3</v>
      </c>
      <c r="G50">
        <v>278.3</v>
      </c>
      <c r="H50">
        <v>2.0950000000000002</v>
      </c>
    </row>
    <row r="51" spans="1:8" x14ac:dyDescent="0.3">
      <c r="A51">
        <v>50</v>
      </c>
      <c r="B51">
        <v>100</v>
      </c>
      <c r="C51">
        <v>488.61500000000001</v>
      </c>
      <c r="D51">
        <v>0.83750000000000002</v>
      </c>
      <c r="E51">
        <v>2</v>
      </c>
      <c r="F51">
        <v>279.5</v>
      </c>
      <c r="G51">
        <v>281.5</v>
      </c>
      <c r="H51">
        <v>2.073</v>
      </c>
    </row>
    <row r="52" spans="1:8" x14ac:dyDescent="0.3">
      <c r="A52">
        <v>60</v>
      </c>
      <c r="B52">
        <v>10</v>
      </c>
      <c r="C52">
        <v>602.23</v>
      </c>
      <c r="D52">
        <v>0.8175</v>
      </c>
      <c r="E52">
        <v>3.6</v>
      </c>
      <c r="F52">
        <v>282.8</v>
      </c>
      <c r="G52">
        <v>286.39999999999998</v>
      </c>
      <c r="H52">
        <v>3.831</v>
      </c>
    </row>
    <row r="53" spans="1:8" x14ac:dyDescent="0.3">
      <c r="A53">
        <v>60</v>
      </c>
      <c r="B53">
        <v>20</v>
      </c>
      <c r="C53">
        <v>532.01</v>
      </c>
      <c r="D53">
        <v>0.78749999999999998</v>
      </c>
      <c r="E53">
        <v>2.5</v>
      </c>
      <c r="F53">
        <v>287.5</v>
      </c>
      <c r="G53">
        <v>290</v>
      </c>
      <c r="H53">
        <v>2.746</v>
      </c>
    </row>
    <row r="54" spans="1:8" x14ac:dyDescent="0.3">
      <c r="A54">
        <v>60</v>
      </c>
      <c r="B54">
        <v>30</v>
      </c>
      <c r="C54">
        <v>508.73</v>
      </c>
      <c r="D54">
        <v>0.59</v>
      </c>
      <c r="E54">
        <v>2.2000000000000002</v>
      </c>
      <c r="F54">
        <v>291.2</v>
      </c>
      <c r="G54">
        <v>293.39999999999998</v>
      </c>
      <c r="H54">
        <v>2.339</v>
      </c>
    </row>
    <row r="55" spans="1:8" x14ac:dyDescent="0.3">
      <c r="A55">
        <v>60</v>
      </c>
      <c r="B55">
        <v>40</v>
      </c>
      <c r="C55">
        <v>506.78</v>
      </c>
      <c r="D55">
        <v>0.83250000000000002</v>
      </c>
      <c r="E55">
        <v>2.1</v>
      </c>
      <c r="F55">
        <v>294.5</v>
      </c>
      <c r="G55">
        <v>296.60000000000002</v>
      </c>
      <c r="H55">
        <v>2.137</v>
      </c>
    </row>
    <row r="56" spans="1:8" x14ac:dyDescent="0.3">
      <c r="A56">
        <v>60</v>
      </c>
      <c r="B56">
        <v>50</v>
      </c>
      <c r="C56">
        <v>474.41500000000002</v>
      </c>
      <c r="D56">
        <v>0.78249999999999997</v>
      </c>
      <c r="E56">
        <v>1.9</v>
      </c>
      <c r="F56">
        <v>297.7</v>
      </c>
      <c r="G56">
        <v>299.60000000000002</v>
      </c>
      <c r="H56">
        <v>2.0259999999999998</v>
      </c>
    </row>
    <row r="57" spans="1:8" x14ac:dyDescent="0.3">
      <c r="A57">
        <v>60</v>
      </c>
      <c r="B57">
        <v>60</v>
      </c>
      <c r="C57">
        <v>473.42500000000001</v>
      </c>
      <c r="D57">
        <v>0.72</v>
      </c>
      <c r="E57">
        <v>1.7</v>
      </c>
      <c r="F57">
        <v>300.8</v>
      </c>
      <c r="G57">
        <v>302.5</v>
      </c>
      <c r="H57">
        <v>1.948</v>
      </c>
    </row>
    <row r="58" spans="1:8" x14ac:dyDescent="0.3">
      <c r="A58">
        <v>60</v>
      </c>
      <c r="B58">
        <v>70</v>
      </c>
      <c r="C58">
        <v>454.72500000000002</v>
      </c>
      <c r="D58">
        <v>0.8125</v>
      </c>
      <c r="E58">
        <v>1.8</v>
      </c>
      <c r="F58">
        <v>303.60000000000002</v>
      </c>
      <c r="G58">
        <v>305.39999999999998</v>
      </c>
      <c r="H58">
        <v>1.897</v>
      </c>
    </row>
    <row r="59" spans="1:8" x14ac:dyDescent="0.3">
      <c r="A59">
        <v>60</v>
      </c>
      <c r="B59">
        <v>80</v>
      </c>
      <c r="C59">
        <v>447.46</v>
      </c>
      <c r="D59">
        <v>1.385</v>
      </c>
      <c r="E59">
        <v>1.7</v>
      </c>
      <c r="F59">
        <v>306.60000000000002</v>
      </c>
      <c r="G59">
        <v>308.3</v>
      </c>
      <c r="H59">
        <v>1.8620000000000001</v>
      </c>
    </row>
    <row r="60" spans="1:8" x14ac:dyDescent="0.3">
      <c r="A60">
        <v>60</v>
      </c>
      <c r="B60">
        <v>90</v>
      </c>
      <c r="C60">
        <v>458.42500000000001</v>
      </c>
      <c r="D60">
        <v>1.0375000000000001</v>
      </c>
      <c r="E60">
        <v>1.7</v>
      </c>
      <c r="F60">
        <v>309.5</v>
      </c>
      <c r="G60">
        <v>311.2</v>
      </c>
      <c r="H60">
        <v>1.8380000000000001</v>
      </c>
    </row>
    <row r="61" spans="1:8" x14ac:dyDescent="0.3">
      <c r="A61">
        <v>60</v>
      </c>
      <c r="B61">
        <v>100</v>
      </c>
      <c r="C61">
        <v>462.435</v>
      </c>
      <c r="D61">
        <v>1.26</v>
      </c>
      <c r="E61">
        <v>1.7</v>
      </c>
      <c r="F61">
        <v>312.3</v>
      </c>
      <c r="G61">
        <v>314</v>
      </c>
      <c r="H61">
        <v>1.8169999999999999</v>
      </c>
    </row>
    <row r="62" spans="1:8" x14ac:dyDescent="0.3">
      <c r="A62">
        <v>70</v>
      </c>
      <c r="B62">
        <v>10</v>
      </c>
      <c r="C62">
        <v>598.32000000000005</v>
      </c>
      <c r="D62">
        <v>0.3075</v>
      </c>
      <c r="E62">
        <v>3.6</v>
      </c>
      <c r="F62">
        <v>315.10000000000002</v>
      </c>
      <c r="G62">
        <v>318.7</v>
      </c>
      <c r="H62">
        <v>3.6970000000000001</v>
      </c>
    </row>
    <row r="63" spans="1:8" x14ac:dyDescent="0.3">
      <c r="A63">
        <v>70</v>
      </c>
      <c r="B63">
        <v>20</v>
      </c>
      <c r="C63">
        <v>526.35500000000002</v>
      </c>
      <c r="D63">
        <v>0.74250000000000005</v>
      </c>
      <c r="E63">
        <v>2.5</v>
      </c>
      <c r="F63">
        <v>319.89999999999998</v>
      </c>
      <c r="G63">
        <v>322.39999999999998</v>
      </c>
      <c r="H63">
        <v>2.6419999999999999</v>
      </c>
    </row>
    <row r="64" spans="1:8" x14ac:dyDescent="0.3">
      <c r="A64">
        <v>70</v>
      </c>
      <c r="B64">
        <v>30</v>
      </c>
      <c r="C64">
        <v>498.53500000000003</v>
      </c>
      <c r="D64">
        <v>0.70250000000000001</v>
      </c>
      <c r="E64">
        <v>2.1</v>
      </c>
      <c r="F64">
        <v>323.5</v>
      </c>
      <c r="G64">
        <v>325.60000000000002</v>
      </c>
      <c r="H64">
        <v>2.1970000000000001</v>
      </c>
    </row>
    <row r="65" spans="1:8" x14ac:dyDescent="0.3">
      <c r="A65">
        <v>70</v>
      </c>
      <c r="B65">
        <v>40</v>
      </c>
      <c r="C65">
        <v>474.94</v>
      </c>
      <c r="D65">
        <v>0.85750000000000004</v>
      </c>
      <c r="E65">
        <v>1.8</v>
      </c>
      <c r="F65">
        <v>326.7</v>
      </c>
      <c r="G65">
        <v>328.5</v>
      </c>
      <c r="H65">
        <v>1.9790000000000001</v>
      </c>
    </row>
    <row r="66" spans="1:8" x14ac:dyDescent="0.3">
      <c r="A66">
        <v>70</v>
      </c>
      <c r="B66">
        <v>50</v>
      </c>
      <c r="C66">
        <v>448.18</v>
      </c>
      <c r="D66">
        <v>0.60750000000000004</v>
      </c>
      <c r="E66">
        <v>1.7</v>
      </c>
      <c r="F66">
        <v>329.7</v>
      </c>
      <c r="G66">
        <v>331.4</v>
      </c>
      <c r="H66">
        <v>1.857</v>
      </c>
    </row>
    <row r="67" spans="1:8" x14ac:dyDescent="0.3">
      <c r="A67">
        <v>70</v>
      </c>
      <c r="B67">
        <v>60</v>
      </c>
      <c r="C67">
        <v>425.2</v>
      </c>
      <c r="D67">
        <v>1.2</v>
      </c>
      <c r="E67">
        <v>1.7</v>
      </c>
      <c r="F67">
        <v>332.5</v>
      </c>
      <c r="G67">
        <v>334.2</v>
      </c>
      <c r="H67">
        <v>1.7729999999999999</v>
      </c>
    </row>
    <row r="68" spans="1:8" x14ac:dyDescent="0.3">
      <c r="A68">
        <v>70</v>
      </c>
      <c r="B68">
        <v>70</v>
      </c>
      <c r="C68">
        <v>470.29500000000002</v>
      </c>
      <c r="D68">
        <v>0.96</v>
      </c>
      <c r="E68">
        <v>1.6</v>
      </c>
      <c r="F68">
        <v>335.3</v>
      </c>
      <c r="G68">
        <v>336.9</v>
      </c>
      <c r="H68">
        <v>1.7190000000000001</v>
      </c>
    </row>
    <row r="69" spans="1:8" x14ac:dyDescent="0.3">
      <c r="A69">
        <v>70</v>
      </c>
      <c r="B69">
        <v>80</v>
      </c>
      <c r="C69">
        <v>459.61500000000001</v>
      </c>
      <c r="D69">
        <v>1.87</v>
      </c>
      <c r="E69">
        <v>1.5</v>
      </c>
      <c r="F69">
        <v>338.1</v>
      </c>
      <c r="G69">
        <v>339.6</v>
      </c>
      <c r="H69">
        <v>1.681</v>
      </c>
    </row>
    <row r="70" spans="1:8" x14ac:dyDescent="0.3">
      <c r="A70">
        <v>70</v>
      </c>
      <c r="B70">
        <v>90</v>
      </c>
      <c r="C70">
        <v>380.96499999999997</v>
      </c>
      <c r="D70">
        <v>3.1</v>
      </c>
      <c r="E70">
        <v>1.4</v>
      </c>
      <c r="F70">
        <v>340.8</v>
      </c>
      <c r="G70">
        <v>342.2</v>
      </c>
      <c r="H70">
        <v>1.651</v>
      </c>
    </row>
    <row r="71" spans="1:8" x14ac:dyDescent="0.3">
      <c r="A71">
        <v>70</v>
      </c>
      <c r="B71">
        <v>100</v>
      </c>
      <c r="C71">
        <v>452.90499999999997</v>
      </c>
      <c r="D71">
        <v>2.5649999999999999</v>
      </c>
      <c r="E71">
        <v>1.5</v>
      </c>
      <c r="F71">
        <v>343.4</v>
      </c>
      <c r="G71">
        <v>344.9</v>
      </c>
      <c r="H71">
        <v>1.629</v>
      </c>
    </row>
    <row r="72" spans="1:8" x14ac:dyDescent="0.3">
      <c r="A72">
        <v>80</v>
      </c>
      <c r="B72">
        <v>10</v>
      </c>
      <c r="C72">
        <v>560.41</v>
      </c>
      <c r="D72">
        <v>0.46500000000000002</v>
      </c>
      <c r="E72">
        <v>3.3</v>
      </c>
      <c r="F72">
        <v>346.2</v>
      </c>
      <c r="G72">
        <v>349.5</v>
      </c>
      <c r="H72">
        <v>3.5710000000000002</v>
      </c>
    </row>
    <row r="73" spans="1:8" x14ac:dyDescent="0.3">
      <c r="A73">
        <v>80</v>
      </c>
      <c r="B73">
        <v>20</v>
      </c>
      <c r="C73">
        <v>503.32499999999999</v>
      </c>
      <c r="D73">
        <v>0.75</v>
      </c>
      <c r="E73">
        <v>2.4</v>
      </c>
      <c r="F73">
        <v>350.7</v>
      </c>
      <c r="G73">
        <v>353.1</v>
      </c>
      <c r="H73">
        <v>2.5579999999999998</v>
      </c>
    </row>
    <row r="74" spans="1:8" x14ac:dyDescent="0.3">
      <c r="A74">
        <v>80</v>
      </c>
      <c r="B74">
        <v>30</v>
      </c>
      <c r="C74">
        <v>485.88</v>
      </c>
      <c r="D74">
        <v>0.6925</v>
      </c>
      <c r="E74">
        <v>2</v>
      </c>
      <c r="F74">
        <v>354.2</v>
      </c>
      <c r="G74">
        <v>356.2</v>
      </c>
      <c r="H74">
        <v>2.1059999999999999</v>
      </c>
    </row>
    <row r="75" spans="1:8" x14ac:dyDescent="0.3">
      <c r="A75">
        <v>80</v>
      </c>
      <c r="B75">
        <v>40</v>
      </c>
      <c r="C75">
        <v>459.58499999999998</v>
      </c>
      <c r="D75">
        <v>1.4275</v>
      </c>
      <c r="E75">
        <v>1.8</v>
      </c>
      <c r="F75">
        <v>357.3</v>
      </c>
      <c r="G75">
        <v>359.1</v>
      </c>
      <c r="H75">
        <v>1.871</v>
      </c>
    </row>
    <row r="76" spans="1:8" x14ac:dyDescent="0.3">
      <c r="A76">
        <v>80</v>
      </c>
      <c r="B76">
        <v>50</v>
      </c>
      <c r="C76">
        <v>441.58499999999998</v>
      </c>
      <c r="D76">
        <v>0.59750000000000003</v>
      </c>
      <c r="E76">
        <v>1.6</v>
      </c>
      <c r="F76">
        <v>360.2</v>
      </c>
      <c r="G76">
        <v>361.8</v>
      </c>
      <c r="H76">
        <v>1.7410000000000001</v>
      </c>
    </row>
    <row r="77" spans="1:8" x14ac:dyDescent="0.3">
      <c r="A77">
        <v>80</v>
      </c>
      <c r="B77">
        <v>60</v>
      </c>
      <c r="C77">
        <v>468.53</v>
      </c>
      <c r="D77">
        <v>0.97</v>
      </c>
      <c r="E77">
        <v>1.6</v>
      </c>
      <c r="F77">
        <v>362.9</v>
      </c>
      <c r="G77">
        <v>364.5</v>
      </c>
      <c r="H77">
        <v>1.655</v>
      </c>
    </row>
    <row r="78" spans="1:8" x14ac:dyDescent="0.3">
      <c r="A78">
        <v>80</v>
      </c>
      <c r="B78">
        <v>70</v>
      </c>
      <c r="C78">
        <v>410.185</v>
      </c>
      <c r="D78">
        <v>2.1850000000000001</v>
      </c>
      <c r="E78">
        <v>1.3</v>
      </c>
      <c r="F78">
        <v>365.7</v>
      </c>
      <c r="G78">
        <v>367</v>
      </c>
      <c r="H78">
        <v>1.597</v>
      </c>
    </row>
    <row r="79" spans="1:8" x14ac:dyDescent="0.3">
      <c r="A79">
        <v>80</v>
      </c>
      <c r="B79">
        <v>80</v>
      </c>
      <c r="C79">
        <v>447.685</v>
      </c>
      <c r="D79">
        <v>1.71</v>
      </c>
      <c r="E79">
        <v>1.4</v>
      </c>
      <c r="F79">
        <v>368.2</v>
      </c>
      <c r="G79">
        <v>369.6</v>
      </c>
      <c r="H79">
        <v>1.5529999999999999</v>
      </c>
    </row>
    <row r="80" spans="1:8" x14ac:dyDescent="0.3">
      <c r="A80">
        <v>80</v>
      </c>
      <c r="B80">
        <v>90</v>
      </c>
      <c r="C80">
        <v>383.9</v>
      </c>
      <c r="D80">
        <v>4.12</v>
      </c>
      <c r="E80">
        <v>1.3</v>
      </c>
      <c r="F80">
        <v>370.8</v>
      </c>
      <c r="G80">
        <v>372.1</v>
      </c>
      <c r="H80">
        <v>1.5229999999999999</v>
      </c>
    </row>
    <row r="81" spans="1:8" x14ac:dyDescent="0.3">
      <c r="A81">
        <v>80</v>
      </c>
      <c r="B81">
        <v>100</v>
      </c>
      <c r="C81">
        <v>436.41500000000002</v>
      </c>
      <c r="D81">
        <v>5.48</v>
      </c>
      <c r="E81">
        <v>1.3</v>
      </c>
      <c r="F81">
        <v>373.3</v>
      </c>
      <c r="G81">
        <v>374.6</v>
      </c>
      <c r="H81">
        <v>1.4970000000000001</v>
      </c>
    </row>
    <row r="82" spans="1:8" x14ac:dyDescent="0.3">
      <c r="A82">
        <v>90</v>
      </c>
      <c r="B82">
        <v>10</v>
      </c>
      <c r="C82">
        <v>556.09500000000003</v>
      </c>
      <c r="D82">
        <v>0.54</v>
      </c>
      <c r="E82">
        <v>3.3</v>
      </c>
      <c r="F82">
        <v>375.9</v>
      </c>
      <c r="G82">
        <v>379.2</v>
      </c>
      <c r="H82">
        <v>3.472</v>
      </c>
    </row>
    <row r="83" spans="1:8" x14ac:dyDescent="0.3">
      <c r="A83">
        <v>90</v>
      </c>
      <c r="B83">
        <v>20</v>
      </c>
      <c r="C83">
        <v>493.60500000000002</v>
      </c>
      <c r="D83">
        <v>0.65</v>
      </c>
      <c r="E83">
        <v>2.2999999999999998</v>
      </c>
      <c r="F83">
        <v>380.4</v>
      </c>
      <c r="G83">
        <v>382.7</v>
      </c>
      <c r="H83">
        <v>2.4849999999999999</v>
      </c>
    </row>
    <row r="84" spans="1:8" x14ac:dyDescent="0.3">
      <c r="A84">
        <v>90</v>
      </c>
      <c r="B84">
        <v>30</v>
      </c>
      <c r="C84">
        <v>487.11</v>
      </c>
      <c r="D84">
        <v>0.58499999999999996</v>
      </c>
      <c r="E84">
        <v>1.9</v>
      </c>
      <c r="F84">
        <v>383.8</v>
      </c>
      <c r="G84">
        <v>385.7</v>
      </c>
      <c r="H84">
        <v>2.0430000000000001</v>
      </c>
    </row>
    <row r="85" spans="1:8" x14ac:dyDescent="0.3">
      <c r="A85">
        <v>90</v>
      </c>
      <c r="B85">
        <v>40</v>
      </c>
      <c r="C85">
        <v>455.82</v>
      </c>
      <c r="D85">
        <v>0.42249999999999999</v>
      </c>
      <c r="E85">
        <v>1.7</v>
      </c>
      <c r="F85">
        <v>386.9</v>
      </c>
      <c r="G85">
        <v>388.6</v>
      </c>
      <c r="H85">
        <v>1.7949999999999999</v>
      </c>
    </row>
    <row r="86" spans="1:8" x14ac:dyDescent="0.3">
      <c r="A86">
        <v>90</v>
      </c>
      <c r="B86">
        <v>50</v>
      </c>
      <c r="C86">
        <v>430.34</v>
      </c>
      <c r="D86">
        <v>0.55249999999999999</v>
      </c>
      <c r="E86">
        <v>1.4</v>
      </c>
      <c r="F86">
        <v>389.7</v>
      </c>
      <c r="G86">
        <v>391.1</v>
      </c>
      <c r="H86">
        <v>1.657</v>
      </c>
    </row>
    <row r="87" spans="1:8" x14ac:dyDescent="0.3">
      <c r="A87">
        <v>90</v>
      </c>
      <c r="B87">
        <v>60</v>
      </c>
      <c r="C87">
        <v>424.67500000000001</v>
      </c>
      <c r="D87">
        <v>0.52249999999999996</v>
      </c>
      <c r="E87">
        <v>1.4</v>
      </c>
      <c r="F87">
        <v>392.3</v>
      </c>
      <c r="G87">
        <v>393.7</v>
      </c>
      <c r="H87">
        <v>1.5640000000000001</v>
      </c>
    </row>
    <row r="88" spans="1:8" x14ac:dyDescent="0.3">
      <c r="A88">
        <v>90</v>
      </c>
      <c r="B88">
        <v>70</v>
      </c>
      <c r="C88">
        <v>386.42500000000001</v>
      </c>
      <c r="D88">
        <v>2.855</v>
      </c>
      <c r="E88">
        <v>1.2</v>
      </c>
      <c r="F88">
        <v>395</v>
      </c>
      <c r="G88">
        <v>396.2</v>
      </c>
      <c r="H88">
        <v>1.502</v>
      </c>
    </row>
    <row r="89" spans="1:8" x14ac:dyDescent="0.3">
      <c r="A89">
        <v>90</v>
      </c>
      <c r="B89">
        <v>80</v>
      </c>
      <c r="C89">
        <v>441.40499999999997</v>
      </c>
      <c r="D89">
        <v>4.7850000000000001</v>
      </c>
      <c r="E89">
        <v>1.3</v>
      </c>
      <c r="F89">
        <v>397.4</v>
      </c>
      <c r="G89">
        <v>398.7</v>
      </c>
      <c r="H89">
        <v>1.4570000000000001</v>
      </c>
    </row>
    <row r="90" spans="1:8" x14ac:dyDescent="0.3">
      <c r="A90">
        <v>90</v>
      </c>
      <c r="B90">
        <v>90</v>
      </c>
      <c r="C90">
        <v>428.98500000000001</v>
      </c>
      <c r="D90">
        <v>6.3525</v>
      </c>
      <c r="E90">
        <v>1.2</v>
      </c>
      <c r="F90">
        <v>399.9</v>
      </c>
      <c r="G90">
        <v>401.1</v>
      </c>
      <c r="H90">
        <v>1.423</v>
      </c>
    </row>
    <row r="91" spans="1:8" x14ac:dyDescent="0.3">
      <c r="A91">
        <v>90</v>
      </c>
      <c r="B91">
        <v>100</v>
      </c>
      <c r="C91">
        <v>426.45499999999998</v>
      </c>
      <c r="D91">
        <v>7.23</v>
      </c>
      <c r="E91">
        <v>1.2</v>
      </c>
      <c r="F91">
        <v>402.3</v>
      </c>
      <c r="G91">
        <v>403.5</v>
      </c>
      <c r="H91">
        <v>1.397</v>
      </c>
    </row>
    <row r="92" spans="1:8" x14ac:dyDescent="0.3">
      <c r="A92">
        <v>100</v>
      </c>
      <c r="B92">
        <v>10</v>
      </c>
      <c r="C92">
        <v>561.28</v>
      </c>
      <c r="D92">
        <v>0.35249999999999998</v>
      </c>
      <c r="E92">
        <v>3.4</v>
      </c>
      <c r="F92">
        <v>404.8</v>
      </c>
      <c r="G92">
        <v>408.2</v>
      </c>
      <c r="H92">
        <v>3.4390000000000001</v>
      </c>
    </row>
    <row r="93" spans="1:8" x14ac:dyDescent="0.3">
      <c r="A93">
        <v>100</v>
      </c>
      <c r="B93">
        <v>20</v>
      </c>
      <c r="C93">
        <v>496.65499999999997</v>
      </c>
      <c r="D93">
        <v>0.62749999999999995</v>
      </c>
      <c r="E93">
        <v>2.4</v>
      </c>
      <c r="F93">
        <v>409.2</v>
      </c>
      <c r="G93">
        <v>411.6</v>
      </c>
      <c r="H93">
        <v>2.42</v>
      </c>
    </row>
    <row r="94" spans="1:8" x14ac:dyDescent="0.3">
      <c r="A94">
        <v>100</v>
      </c>
      <c r="B94">
        <v>30</v>
      </c>
      <c r="C94">
        <v>471.92500000000001</v>
      </c>
      <c r="D94">
        <v>0.84499999999999997</v>
      </c>
      <c r="E94">
        <v>1.9</v>
      </c>
      <c r="F94">
        <v>412.6</v>
      </c>
      <c r="G94">
        <v>414.5</v>
      </c>
      <c r="H94">
        <v>2</v>
      </c>
    </row>
    <row r="95" spans="1:8" x14ac:dyDescent="0.3">
      <c r="A95">
        <v>100</v>
      </c>
      <c r="B95">
        <v>40</v>
      </c>
      <c r="C95">
        <v>458.02</v>
      </c>
      <c r="D95">
        <v>0.51249999999999996</v>
      </c>
      <c r="E95">
        <v>1.5</v>
      </c>
      <c r="F95">
        <v>415.7</v>
      </c>
      <c r="G95">
        <v>417.2</v>
      </c>
      <c r="H95">
        <v>1.7430000000000001</v>
      </c>
    </row>
    <row r="96" spans="1:8" x14ac:dyDescent="0.3">
      <c r="A96">
        <v>100</v>
      </c>
      <c r="B96">
        <v>50</v>
      </c>
      <c r="C96">
        <v>419.5</v>
      </c>
      <c r="D96">
        <v>0.83</v>
      </c>
      <c r="E96">
        <v>1.4</v>
      </c>
      <c r="F96">
        <v>418.4</v>
      </c>
      <c r="G96">
        <v>419.8</v>
      </c>
      <c r="H96">
        <v>1.593</v>
      </c>
    </row>
    <row r="97" spans="1:8" x14ac:dyDescent="0.3">
      <c r="A97">
        <v>100</v>
      </c>
      <c r="B97">
        <v>60</v>
      </c>
      <c r="C97">
        <v>425.48</v>
      </c>
      <c r="D97">
        <v>2.78</v>
      </c>
      <c r="E97">
        <v>1.2</v>
      </c>
      <c r="F97">
        <v>421</v>
      </c>
      <c r="G97">
        <v>422.2</v>
      </c>
      <c r="H97">
        <v>1.4950000000000001</v>
      </c>
    </row>
    <row r="98" spans="1:8" x14ac:dyDescent="0.3">
      <c r="A98">
        <v>100</v>
      </c>
      <c r="B98">
        <v>70</v>
      </c>
      <c r="C98">
        <v>434.82</v>
      </c>
      <c r="D98">
        <v>4.3849999999999998</v>
      </c>
      <c r="E98">
        <v>1.2</v>
      </c>
      <c r="F98">
        <v>423.5</v>
      </c>
      <c r="G98">
        <v>424.7</v>
      </c>
      <c r="H98">
        <v>1.43</v>
      </c>
    </row>
    <row r="99" spans="1:8" x14ac:dyDescent="0.3">
      <c r="A99">
        <v>100</v>
      </c>
      <c r="B99">
        <v>80</v>
      </c>
      <c r="C99">
        <v>434.20499999999998</v>
      </c>
      <c r="D99">
        <v>6.26</v>
      </c>
      <c r="E99">
        <v>1.2</v>
      </c>
      <c r="F99">
        <v>425.9</v>
      </c>
      <c r="G99">
        <v>427.1</v>
      </c>
      <c r="H99">
        <v>1.381</v>
      </c>
    </row>
    <row r="100" spans="1:8" x14ac:dyDescent="0.3">
      <c r="A100">
        <v>100</v>
      </c>
      <c r="B100">
        <v>90</v>
      </c>
      <c r="C100">
        <v>422.65</v>
      </c>
      <c r="D100">
        <v>9.375</v>
      </c>
      <c r="E100">
        <v>1.1000000000000001</v>
      </c>
      <c r="F100">
        <v>428.3</v>
      </c>
      <c r="G100">
        <v>429.4</v>
      </c>
      <c r="H100">
        <v>1.35</v>
      </c>
    </row>
    <row r="101" spans="1:8" x14ac:dyDescent="0.3">
      <c r="A101">
        <v>100</v>
      </c>
      <c r="B101">
        <v>100</v>
      </c>
      <c r="C101">
        <v>430.43</v>
      </c>
      <c r="D101">
        <v>13.41</v>
      </c>
      <c r="E101">
        <v>1.2</v>
      </c>
      <c r="F101">
        <v>430.6</v>
      </c>
      <c r="G101">
        <v>431.8</v>
      </c>
      <c r="H101">
        <v>1.3169999999999999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12483-93B1-43FB-AC77-A164B371C932}">
  <dimension ref="A1:H101"/>
  <sheetViews>
    <sheetView zoomScale="85" zoomScaleNormal="85" workbookViewId="0">
      <selection activeCell="K5" sqref="K5"/>
    </sheetView>
  </sheetViews>
  <sheetFormatPr defaultRowHeight="14.4" x14ac:dyDescent="0.3"/>
  <cols>
    <col min="2" max="2" width="14.33203125" customWidth="1"/>
    <col min="3" max="3" width="13.77734375" customWidth="1"/>
    <col min="4" max="4" width="13.5546875" customWidth="1"/>
    <col min="5" max="5" width="15.88671875" bestFit="1" customWidth="1"/>
    <col min="6" max="6" width="12.5546875" bestFit="1" customWidth="1"/>
    <col min="7" max="7" width="11.6640625" bestFit="1" customWidth="1"/>
    <col min="8" max="8" width="6.109375" bestFit="1" customWidth="1"/>
  </cols>
  <sheetData>
    <row r="1" spans="1:8" x14ac:dyDescent="0.3">
      <c r="A1" t="s">
        <v>16</v>
      </c>
      <c r="B1" t="s">
        <v>17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14</v>
      </c>
    </row>
    <row r="2" spans="1:8" x14ac:dyDescent="0.3">
      <c r="A2">
        <v>10</v>
      </c>
      <c r="B2">
        <v>10</v>
      </c>
      <c r="C2">
        <v>1151.72</v>
      </c>
      <c r="D2">
        <v>4.5</v>
      </c>
      <c r="E2">
        <v>9.3000000000000007</v>
      </c>
      <c r="F2">
        <v>7.4</v>
      </c>
      <c r="G2">
        <v>16.7</v>
      </c>
      <c r="H2">
        <v>9.6370000000000005</v>
      </c>
    </row>
    <row r="3" spans="1:8" x14ac:dyDescent="0.3">
      <c r="A3">
        <v>10</v>
      </c>
      <c r="B3">
        <v>20</v>
      </c>
      <c r="C3">
        <v>1118.04</v>
      </c>
      <c r="D3">
        <v>5.26</v>
      </c>
      <c r="E3">
        <v>9</v>
      </c>
      <c r="F3">
        <v>17.899999999999999</v>
      </c>
      <c r="G3">
        <v>26.9</v>
      </c>
      <c r="H3">
        <v>9.1419999999999995</v>
      </c>
    </row>
    <row r="4" spans="1:8" x14ac:dyDescent="0.3">
      <c r="A4">
        <v>10</v>
      </c>
      <c r="B4">
        <v>30</v>
      </c>
      <c r="C4">
        <v>1105.4549999999999</v>
      </c>
      <c r="D4">
        <v>4.18</v>
      </c>
      <c r="E4">
        <v>8.9</v>
      </c>
      <c r="F4">
        <v>28.1</v>
      </c>
      <c r="G4">
        <v>37</v>
      </c>
      <c r="H4">
        <v>8.9719999999999995</v>
      </c>
    </row>
    <row r="5" spans="1:8" x14ac:dyDescent="0.3">
      <c r="A5">
        <v>10</v>
      </c>
      <c r="B5">
        <v>40</v>
      </c>
      <c r="C5">
        <v>1105.45</v>
      </c>
      <c r="D5">
        <v>4.8</v>
      </c>
      <c r="E5">
        <v>8.9</v>
      </c>
      <c r="F5">
        <v>38</v>
      </c>
      <c r="G5">
        <v>46.9</v>
      </c>
      <c r="H5">
        <v>8.8859999999999992</v>
      </c>
    </row>
    <row r="6" spans="1:8" x14ac:dyDescent="0.3">
      <c r="A6">
        <v>10</v>
      </c>
      <c r="B6">
        <v>50</v>
      </c>
      <c r="C6">
        <v>1087.94</v>
      </c>
      <c r="D6">
        <v>5.33</v>
      </c>
      <c r="E6">
        <v>8.8000000000000007</v>
      </c>
      <c r="F6">
        <v>47.9</v>
      </c>
      <c r="G6">
        <v>56.7</v>
      </c>
      <c r="H6">
        <v>8.8379999999999992</v>
      </c>
    </row>
    <row r="7" spans="1:8" x14ac:dyDescent="0.3">
      <c r="A7">
        <v>10</v>
      </c>
      <c r="B7">
        <v>60</v>
      </c>
      <c r="C7">
        <v>1080.6500000000001</v>
      </c>
      <c r="D7">
        <v>5.0199999999999996</v>
      </c>
      <c r="E7">
        <v>8.6999999999999993</v>
      </c>
      <c r="F7">
        <v>57.8</v>
      </c>
      <c r="G7">
        <v>66.5</v>
      </c>
      <c r="H7">
        <v>8.8059999999999992</v>
      </c>
    </row>
    <row r="8" spans="1:8" x14ac:dyDescent="0.3">
      <c r="A8">
        <v>10</v>
      </c>
      <c r="B8">
        <v>70</v>
      </c>
      <c r="C8">
        <v>1092.125</v>
      </c>
      <c r="D8">
        <v>4.0350000000000001</v>
      </c>
      <c r="E8">
        <v>8.8000000000000007</v>
      </c>
      <c r="F8">
        <v>67.599999999999994</v>
      </c>
      <c r="G8">
        <v>76.400000000000006</v>
      </c>
      <c r="H8">
        <v>8.7810000000000006</v>
      </c>
    </row>
    <row r="9" spans="1:8" x14ac:dyDescent="0.3">
      <c r="A9">
        <v>10</v>
      </c>
      <c r="B9">
        <v>80</v>
      </c>
      <c r="C9">
        <v>1105.8599999999999</v>
      </c>
      <c r="D9">
        <v>4.2450000000000001</v>
      </c>
      <c r="E9">
        <v>8.9</v>
      </c>
      <c r="F9">
        <v>77.3</v>
      </c>
      <c r="G9">
        <v>86.2</v>
      </c>
      <c r="H9">
        <v>8.7669999999999995</v>
      </c>
    </row>
    <row r="10" spans="1:8" x14ac:dyDescent="0.3">
      <c r="A10">
        <v>10</v>
      </c>
      <c r="B10">
        <v>90</v>
      </c>
      <c r="C10">
        <v>1091.0650000000001</v>
      </c>
      <c r="D10">
        <v>4.6399999999999997</v>
      </c>
      <c r="E10">
        <v>8.8000000000000007</v>
      </c>
      <c r="F10">
        <v>87.1</v>
      </c>
      <c r="G10">
        <v>95.9</v>
      </c>
      <c r="H10">
        <v>8.7550000000000008</v>
      </c>
    </row>
    <row r="11" spans="1:8" x14ac:dyDescent="0.3">
      <c r="A11">
        <v>10</v>
      </c>
      <c r="B11">
        <v>100</v>
      </c>
      <c r="C11">
        <v>1090.7149999999999</v>
      </c>
      <c r="D11">
        <v>5.4749999999999996</v>
      </c>
      <c r="E11">
        <v>8.8000000000000007</v>
      </c>
      <c r="F11">
        <v>96.9</v>
      </c>
      <c r="G11">
        <v>105.7</v>
      </c>
      <c r="H11">
        <v>8.7460000000000004</v>
      </c>
    </row>
    <row r="12" spans="1:8" x14ac:dyDescent="0.3">
      <c r="A12">
        <v>20</v>
      </c>
      <c r="B12">
        <v>10</v>
      </c>
      <c r="C12">
        <v>798.73</v>
      </c>
      <c r="D12">
        <v>5.23</v>
      </c>
      <c r="E12">
        <v>5.5</v>
      </c>
      <c r="F12">
        <v>106.8</v>
      </c>
      <c r="G12">
        <v>112.3</v>
      </c>
      <c r="H12">
        <v>5.7610000000000001</v>
      </c>
    </row>
    <row r="13" spans="1:8" x14ac:dyDescent="0.3">
      <c r="A13">
        <v>20</v>
      </c>
      <c r="B13">
        <v>20</v>
      </c>
      <c r="C13">
        <v>737.39</v>
      </c>
      <c r="D13">
        <v>4.6550000000000002</v>
      </c>
      <c r="E13">
        <v>4.9000000000000004</v>
      </c>
      <c r="F13">
        <v>113.5</v>
      </c>
      <c r="G13">
        <v>118.4</v>
      </c>
      <c r="H13">
        <v>5.0579999999999998</v>
      </c>
    </row>
    <row r="14" spans="1:8" x14ac:dyDescent="0.3">
      <c r="A14">
        <v>20</v>
      </c>
      <c r="B14">
        <v>30</v>
      </c>
      <c r="C14">
        <v>728.505</v>
      </c>
      <c r="D14">
        <v>5.38</v>
      </c>
      <c r="E14">
        <v>4.8</v>
      </c>
      <c r="F14">
        <v>119.5</v>
      </c>
      <c r="G14">
        <v>124.3</v>
      </c>
      <c r="H14">
        <v>4.8220000000000001</v>
      </c>
    </row>
    <row r="15" spans="1:8" x14ac:dyDescent="0.3">
      <c r="A15">
        <v>20</v>
      </c>
      <c r="B15">
        <v>40</v>
      </c>
      <c r="C15">
        <v>706.245</v>
      </c>
      <c r="D15">
        <v>4.8849999999999998</v>
      </c>
      <c r="E15">
        <v>4.5999999999999996</v>
      </c>
      <c r="F15">
        <v>125.4</v>
      </c>
      <c r="G15">
        <v>130</v>
      </c>
      <c r="H15">
        <v>4.7060000000000004</v>
      </c>
    </row>
    <row r="16" spans="1:8" x14ac:dyDescent="0.3">
      <c r="A16">
        <v>20</v>
      </c>
      <c r="B16">
        <v>50</v>
      </c>
      <c r="C16">
        <v>718.61</v>
      </c>
      <c r="D16">
        <v>4.78</v>
      </c>
      <c r="E16">
        <v>4.7</v>
      </c>
      <c r="F16">
        <v>131</v>
      </c>
      <c r="G16">
        <v>135.69999999999999</v>
      </c>
      <c r="H16">
        <v>4.6360000000000001</v>
      </c>
    </row>
    <row r="17" spans="1:8" x14ac:dyDescent="0.3">
      <c r="A17">
        <v>20</v>
      </c>
      <c r="B17">
        <v>60</v>
      </c>
      <c r="C17">
        <v>700.03</v>
      </c>
      <c r="D17">
        <v>4.3449999999999998</v>
      </c>
      <c r="E17">
        <v>4.5999999999999996</v>
      </c>
      <c r="F17">
        <v>136.69999999999999</v>
      </c>
      <c r="G17">
        <v>141.30000000000001</v>
      </c>
      <c r="H17">
        <v>4.5919999999999996</v>
      </c>
    </row>
    <row r="18" spans="1:8" x14ac:dyDescent="0.3">
      <c r="A18">
        <v>20</v>
      </c>
      <c r="B18">
        <v>70</v>
      </c>
      <c r="C18">
        <v>690.91</v>
      </c>
      <c r="D18">
        <v>4.7450000000000001</v>
      </c>
      <c r="E18">
        <v>4.5</v>
      </c>
      <c r="F18">
        <v>142.30000000000001</v>
      </c>
      <c r="G18">
        <v>146.80000000000001</v>
      </c>
      <c r="H18">
        <v>4.5620000000000003</v>
      </c>
    </row>
    <row r="19" spans="1:8" x14ac:dyDescent="0.3">
      <c r="A19">
        <v>20</v>
      </c>
      <c r="B19">
        <v>80</v>
      </c>
      <c r="C19">
        <v>703.26</v>
      </c>
      <c r="D19">
        <v>4.2750000000000004</v>
      </c>
      <c r="E19">
        <v>4.5999999999999996</v>
      </c>
      <c r="F19">
        <v>147.9</v>
      </c>
      <c r="G19">
        <v>152.5</v>
      </c>
      <c r="H19">
        <v>4.5439999999999996</v>
      </c>
    </row>
    <row r="20" spans="1:8" x14ac:dyDescent="0.3">
      <c r="A20">
        <v>20</v>
      </c>
      <c r="B20">
        <v>90</v>
      </c>
      <c r="C20">
        <v>700.35500000000002</v>
      </c>
      <c r="D20">
        <v>4.8250000000000002</v>
      </c>
      <c r="E20">
        <v>4.5999999999999996</v>
      </c>
      <c r="F20">
        <v>153.4</v>
      </c>
      <c r="G20">
        <v>158</v>
      </c>
      <c r="H20">
        <v>4.5309999999999997</v>
      </c>
    </row>
    <row r="21" spans="1:8" x14ac:dyDescent="0.3">
      <c r="A21">
        <v>20</v>
      </c>
      <c r="B21">
        <v>100</v>
      </c>
      <c r="C21">
        <v>690.22</v>
      </c>
      <c r="D21">
        <v>5.8650000000000002</v>
      </c>
      <c r="E21">
        <v>4.5</v>
      </c>
      <c r="F21">
        <v>159</v>
      </c>
      <c r="G21">
        <v>163.5</v>
      </c>
      <c r="H21">
        <v>4.5190000000000001</v>
      </c>
    </row>
    <row r="22" spans="1:8" x14ac:dyDescent="0.3">
      <c r="A22">
        <v>30</v>
      </c>
      <c r="B22">
        <v>10</v>
      </c>
      <c r="C22">
        <v>684.95</v>
      </c>
      <c r="D22">
        <v>4.55</v>
      </c>
      <c r="E22">
        <v>4.3</v>
      </c>
      <c r="F22">
        <v>164.7</v>
      </c>
      <c r="G22">
        <v>169</v>
      </c>
      <c r="H22">
        <v>4.6479999999999997</v>
      </c>
    </row>
    <row r="23" spans="1:8" x14ac:dyDescent="0.3">
      <c r="A23">
        <v>30</v>
      </c>
      <c r="B23">
        <v>20</v>
      </c>
      <c r="C23">
        <v>641.57000000000005</v>
      </c>
      <c r="D23">
        <v>4.41</v>
      </c>
      <c r="E23">
        <v>3.7</v>
      </c>
      <c r="F23">
        <v>170.2</v>
      </c>
      <c r="G23">
        <v>173.9</v>
      </c>
      <c r="H23">
        <v>3.7850000000000001</v>
      </c>
    </row>
    <row r="24" spans="1:8" x14ac:dyDescent="0.3">
      <c r="A24">
        <v>30</v>
      </c>
      <c r="B24">
        <v>30</v>
      </c>
      <c r="C24">
        <v>619.38499999999999</v>
      </c>
      <c r="D24">
        <v>4.7549999999999999</v>
      </c>
      <c r="E24">
        <v>3.5</v>
      </c>
      <c r="F24">
        <v>175</v>
      </c>
      <c r="G24">
        <v>178.5</v>
      </c>
      <c r="H24">
        <v>3.4990000000000001</v>
      </c>
    </row>
    <row r="25" spans="1:8" x14ac:dyDescent="0.3">
      <c r="A25">
        <v>30</v>
      </c>
      <c r="B25">
        <v>40</v>
      </c>
      <c r="C25">
        <v>598.03</v>
      </c>
      <c r="D25">
        <v>4.6950000000000003</v>
      </c>
      <c r="E25">
        <v>3.3</v>
      </c>
      <c r="F25">
        <v>179.5</v>
      </c>
      <c r="G25">
        <v>182.8</v>
      </c>
      <c r="H25">
        <v>3.3540000000000001</v>
      </c>
    </row>
    <row r="26" spans="1:8" x14ac:dyDescent="0.3">
      <c r="A26">
        <v>30</v>
      </c>
      <c r="B26">
        <v>50</v>
      </c>
      <c r="C26">
        <v>608.32500000000005</v>
      </c>
      <c r="D26">
        <v>4.585</v>
      </c>
      <c r="E26">
        <v>3.3</v>
      </c>
      <c r="F26">
        <v>183.8</v>
      </c>
      <c r="G26">
        <v>187.1</v>
      </c>
      <c r="H26">
        <v>3.2719999999999998</v>
      </c>
    </row>
    <row r="27" spans="1:8" x14ac:dyDescent="0.3">
      <c r="A27">
        <v>30</v>
      </c>
      <c r="B27">
        <v>60</v>
      </c>
      <c r="C27">
        <v>618.33500000000004</v>
      </c>
      <c r="D27">
        <v>4.3099999999999996</v>
      </c>
      <c r="E27">
        <v>3.3</v>
      </c>
      <c r="F27">
        <v>188.1</v>
      </c>
      <c r="G27">
        <v>191.4</v>
      </c>
      <c r="H27">
        <v>3.2240000000000002</v>
      </c>
    </row>
    <row r="28" spans="1:8" x14ac:dyDescent="0.3">
      <c r="A28">
        <v>30</v>
      </c>
      <c r="B28">
        <v>70</v>
      </c>
      <c r="C28">
        <v>587.26499999999999</v>
      </c>
      <c r="D28">
        <v>4.335</v>
      </c>
      <c r="E28">
        <v>3.2</v>
      </c>
      <c r="F28">
        <v>192.3</v>
      </c>
      <c r="G28">
        <v>195.5</v>
      </c>
      <c r="H28">
        <v>3.1819999999999999</v>
      </c>
    </row>
    <row r="29" spans="1:8" x14ac:dyDescent="0.3">
      <c r="A29">
        <v>30</v>
      </c>
      <c r="B29">
        <v>80</v>
      </c>
      <c r="C29">
        <v>606.1</v>
      </c>
      <c r="D29">
        <v>4.7149999999999999</v>
      </c>
      <c r="E29">
        <v>3.2</v>
      </c>
      <c r="F29">
        <v>196.5</v>
      </c>
      <c r="G29">
        <v>199.7</v>
      </c>
      <c r="H29">
        <v>3.16</v>
      </c>
    </row>
    <row r="30" spans="1:8" x14ac:dyDescent="0.3">
      <c r="A30">
        <v>30</v>
      </c>
      <c r="B30">
        <v>90</v>
      </c>
      <c r="C30">
        <v>597.76499999999999</v>
      </c>
      <c r="D30">
        <v>4.915</v>
      </c>
      <c r="E30">
        <v>3.2</v>
      </c>
      <c r="F30">
        <v>200.7</v>
      </c>
      <c r="G30">
        <v>203.9</v>
      </c>
      <c r="H30">
        <v>3.1429999999999998</v>
      </c>
    </row>
    <row r="31" spans="1:8" x14ac:dyDescent="0.3">
      <c r="A31">
        <v>30</v>
      </c>
      <c r="B31">
        <v>100</v>
      </c>
      <c r="C31">
        <v>577.22</v>
      </c>
      <c r="D31">
        <v>5.3</v>
      </c>
      <c r="E31">
        <v>3.1</v>
      </c>
      <c r="F31">
        <v>204.9</v>
      </c>
      <c r="G31">
        <v>208</v>
      </c>
      <c r="H31">
        <v>3.1280000000000001</v>
      </c>
    </row>
    <row r="32" spans="1:8" x14ac:dyDescent="0.3">
      <c r="A32">
        <v>40</v>
      </c>
      <c r="B32">
        <v>10</v>
      </c>
      <c r="C32">
        <v>671.91499999999996</v>
      </c>
      <c r="D32">
        <v>5.1050000000000004</v>
      </c>
      <c r="E32">
        <v>4</v>
      </c>
      <c r="F32">
        <v>209.1</v>
      </c>
      <c r="G32">
        <v>213.1</v>
      </c>
      <c r="H32">
        <v>4.2050000000000001</v>
      </c>
    </row>
    <row r="33" spans="1:8" x14ac:dyDescent="0.3">
      <c r="A33">
        <v>40</v>
      </c>
      <c r="B33">
        <v>20</v>
      </c>
      <c r="C33">
        <v>594.54999999999995</v>
      </c>
      <c r="D33">
        <v>5.0549999999999997</v>
      </c>
      <c r="E33">
        <v>3.1</v>
      </c>
      <c r="F33">
        <v>214.3</v>
      </c>
      <c r="G33">
        <v>217.4</v>
      </c>
      <c r="H33">
        <v>3.2050000000000001</v>
      </c>
    </row>
    <row r="34" spans="1:8" x14ac:dyDescent="0.3">
      <c r="A34">
        <v>40</v>
      </c>
      <c r="B34">
        <v>30</v>
      </c>
      <c r="C34">
        <v>573.55499999999995</v>
      </c>
      <c r="D34">
        <v>4.6449999999999996</v>
      </c>
      <c r="E34">
        <v>2.8</v>
      </c>
      <c r="F34">
        <v>218.5</v>
      </c>
      <c r="G34">
        <v>221.3</v>
      </c>
      <c r="H34">
        <v>2.879</v>
      </c>
    </row>
    <row r="35" spans="1:8" x14ac:dyDescent="0.3">
      <c r="A35">
        <v>40</v>
      </c>
      <c r="B35">
        <v>40</v>
      </c>
      <c r="C35">
        <v>546.49</v>
      </c>
      <c r="D35">
        <v>5.22</v>
      </c>
      <c r="E35">
        <v>2.7</v>
      </c>
      <c r="F35">
        <v>222.3</v>
      </c>
      <c r="G35">
        <v>225</v>
      </c>
      <c r="H35">
        <v>2.7050000000000001</v>
      </c>
    </row>
    <row r="36" spans="1:8" x14ac:dyDescent="0.3">
      <c r="A36">
        <v>40</v>
      </c>
      <c r="B36">
        <v>50</v>
      </c>
      <c r="C36">
        <v>546.255</v>
      </c>
      <c r="D36">
        <v>4.7149999999999999</v>
      </c>
      <c r="E36">
        <v>2.6</v>
      </c>
      <c r="F36">
        <v>226.1</v>
      </c>
      <c r="G36">
        <v>228.7</v>
      </c>
      <c r="H36">
        <v>2.613</v>
      </c>
    </row>
    <row r="37" spans="1:8" x14ac:dyDescent="0.3">
      <c r="A37">
        <v>40</v>
      </c>
      <c r="B37">
        <v>60</v>
      </c>
      <c r="C37">
        <v>531.19000000000005</v>
      </c>
      <c r="D37">
        <v>4.8049999999999997</v>
      </c>
      <c r="E37">
        <v>2.5</v>
      </c>
      <c r="F37">
        <v>229.7</v>
      </c>
      <c r="G37">
        <v>232.2</v>
      </c>
      <c r="H37">
        <v>2.5499999999999998</v>
      </c>
    </row>
    <row r="38" spans="1:8" x14ac:dyDescent="0.3">
      <c r="A38">
        <v>40</v>
      </c>
      <c r="B38">
        <v>70</v>
      </c>
      <c r="C38">
        <v>520.36500000000001</v>
      </c>
      <c r="D38">
        <v>4.79</v>
      </c>
      <c r="E38">
        <v>2.5</v>
      </c>
      <c r="F38">
        <v>233.2</v>
      </c>
      <c r="G38">
        <v>235.7</v>
      </c>
      <c r="H38">
        <v>2.5089999999999999</v>
      </c>
    </row>
    <row r="39" spans="1:8" x14ac:dyDescent="0.3">
      <c r="A39">
        <v>40</v>
      </c>
      <c r="B39">
        <v>80</v>
      </c>
      <c r="C39">
        <v>552.99</v>
      </c>
      <c r="D39">
        <v>5.0949999999999998</v>
      </c>
      <c r="E39">
        <v>2.5</v>
      </c>
      <c r="F39">
        <v>236.7</v>
      </c>
      <c r="G39">
        <v>239.2</v>
      </c>
      <c r="H39">
        <v>2.4849999999999999</v>
      </c>
    </row>
    <row r="40" spans="1:8" x14ac:dyDescent="0.3">
      <c r="A40">
        <v>40</v>
      </c>
      <c r="B40">
        <v>90</v>
      </c>
      <c r="C40">
        <v>521.91999999999996</v>
      </c>
      <c r="D40">
        <v>4.79</v>
      </c>
      <c r="E40">
        <v>2.4</v>
      </c>
      <c r="F40">
        <v>240.3</v>
      </c>
      <c r="G40">
        <v>242.7</v>
      </c>
      <c r="H40">
        <v>2.464</v>
      </c>
    </row>
    <row r="41" spans="1:8" x14ac:dyDescent="0.3">
      <c r="A41">
        <v>40</v>
      </c>
      <c r="B41">
        <v>100</v>
      </c>
      <c r="C41">
        <v>512.39</v>
      </c>
      <c r="D41">
        <v>5.8949999999999996</v>
      </c>
      <c r="E41">
        <v>2.4</v>
      </c>
      <c r="F41">
        <v>243.7</v>
      </c>
      <c r="G41">
        <v>246.1</v>
      </c>
      <c r="H41">
        <v>2.4460000000000002</v>
      </c>
    </row>
    <row r="42" spans="1:8" x14ac:dyDescent="0.3">
      <c r="A42">
        <v>50</v>
      </c>
      <c r="B42">
        <v>10</v>
      </c>
      <c r="C42">
        <v>630.56500000000005</v>
      </c>
      <c r="D42">
        <v>4.8099999999999996</v>
      </c>
      <c r="E42">
        <v>3.7</v>
      </c>
      <c r="F42">
        <v>247.3</v>
      </c>
      <c r="G42">
        <v>251</v>
      </c>
      <c r="H42">
        <v>3.9769999999999999</v>
      </c>
    </row>
    <row r="43" spans="1:8" x14ac:dyDescent="0.3">
      <c r="A43">
        <v>50</v>
      </c>
      <c r="B43">
        <v>20</v>
      </c>
      <c r="C43">
        <v>559.21500000000003</v>
      </c>
      <c r="D43">
        <v>4.9649999999999999</v>
      </c>
      <c r="E43">
        <v>2.8</v>
      </c>
      <c r="F43">
        <v>252.2</v>
      </c>
      <c r="G43">
        <v>255</v>
      </c>
      <c r="H43">
        <v>2.8940000000000001</v>
      </c>
    </row>
    <row r="44" spans="1:8" x14ac:dyDescent="0.3">
      <c r="A44">
        <v>50</v>
      </c>
      <c r="B44">
        <v>30</v>
      </c>
      <c r="C44">
        <v>532.11500000000001</v>
      </c>
      <c r="D44">
        <v>4.875</v>
      </c>
      <c r="E44">
        <v>2.4</v>
      </c>
      <c r="F44">
        <v>256.10000000000002</v>
      </c>
      <c r="G44">
        <v>258.5</v>
      </c>
      <c r="H44">
        <v>2.5219999999999998</v>
      </c>
    </row>
    <row r="45" spans="1:8" x14ac:dyDescent="0.3">
      <c r="A45">
        <v>50</v>
      </c>
      <c r="B45">
        <v>40</v>
      </c>
      <c r="C45">
        <v>533.46500000000003</v>
      </c>
      <c r="D45">
        <v>4.5049999999999999</v>
      </c>
      <c r="E45">
        <v>2.2999999999999998</v>
      </c>
      <c r="F45">
        <v>259.60000000000002</v>
      </c>
      <c r="G45">
        <v>261.89999999999998</v>
      </c>
      <c r="H45">
        <v>2.339</v>
      </c>
    </row>
    <row r="46" spans="1:8" x14ac:dyDescent="0.3">
      <c r="A46">
        <v>50</v>
      </c>
      <c r="B46">
        <v>50</v>
      </c>
      <c r="C46">
        <v>530.81500000000005</v>
      </c>
      <c r="D46">
        <v>4.87</v>
      </c>
      <c r="E46">
        <v>2.2999999999999998</v>
      </c>
      <c r="F46">
        <v>262.89999999999998</v>
      </c>
      <c r="G46">
        <v>265.2</v>
      </c>
      <c r="H46">
        <v>2.23</v>
      </c>
    </row>
    <row r="47" spans="1:8" x14ac:dyDescent="0.3">
      <c r="A47">
        <v>50</v>
      </c>
      <c r="B47">
        <v>60</v>
      </c>
      <c r="C47">
        <v>506.4</v>
      </c>
      <c r="D47">
        <v>4.5750000000000002</v>
      </c>
      <c r="E47">
        <v>2.1</v>
      </c>
      <c r="F47">
        <v>266.2</v>
      </c>
      <c r="G47">
        <v>268.3</v>
      </c>
      <c r="H47">
        <v>2.165</v>
      </c>
    </row>
    <row r="48" spans="1:8" x14ac:dyDescent="0.3">
      <c r="A48">
        <v>50</v>
      </c>
      <c r="B48">
        <v>70</v>
      </c>
      <c r="C48">
        <v>510.39499999999998</v>
      </c>
      <c r="D48">
        <v>4.4800000000000004</v>
      </c>
      <c r="E48">
        <v>2.1</v>
      </c>
      <c r="F48">
        <v>269.3</v>
      </c>
      <c r="G48">
        <v>271.39999999999998</v>
      </c>
      <c r="H48">
        <v>2.117</v>
      </c>
    </row>
    <row r="49" spans="1:8" x14ac:dyDescent="0.3">
      <c r="A49">
        <v>50</v>
      </c>
      <c r="B49">
        <v>80</v>
      </c>
      <c r="C49">
        <v>505.3</v>
      </c>
      <c r="D49">
        <v>4.9450000000000003</v>
      </c>
      <c r="E49">
        <v>2.1</v>
      </c>
      <c r="F49">
        <v>272.39999999999998</v>
      </c>
      <c r="G49">
        <v>274.5</v>
      </c>
      <c r="H49">
        <v>2.085</v>
      </c>
    </row>
    <row r="50" spans="1:8" x14ac:dyDescent="0.3">
      <c r="A50">
        <v>50</v>
      </c>
      <c r="B50">
        <v>90</v>
      </c>
      <c r="C50">
        <v>495.05500000000001</v>
      </c>
      <c r="D50">
        <v>4.51</v>
      </c>
      <c r="E50">
        <v>2</v>
      </c>
      <c r="F50">
        <v>275.60000000000002</v>
      </c>
      <c r="G50">
        <v>277.60000000000002</v>
      </c>
      <c r="H50">
        <v>2.0659999999999998</v>
      </c>
    </row>
    <row r="51" spans="1:8" x14ac:dyDescent="0.3">
      <c r="A51">
        <v>50</v>
      </c>
      <c r="B51">
        <v>100</v>
      </c>
      <c r="C51">
        <v>498.745</v>
      </c>
      <c r="D51">
        <v>5.9</v>
      </c>
      <c r="E51">
        <v>2</v>
      </c>
      <c r="F51">
        <v>278.60000000000002</v>
      </c>
      <c r="G51">
        <v>280.60000000000002</v>
      </c>
      <c r="H51">
        <v>2.0419999999999998</v>
      </c>
    </row>
    <row r="52" spans="1:8" x14ac:dyDescent="0.3">
      <c r="A52">
        <v>60</v>
      </c>
      <c r="B52">
        <v>10</v>
      </c>
      <c r="C52">
        <v>618.95500000000004</v>
      </c>
      <c r="D52">
        <v>4.8550000000000004</v>
      </c>
      <c r="E52">
        <v>3.6</v>
      </c>
      <c r="F52">
        <v>281.8</v>
      </c>
      <c r="G52">
        <v>285.39999999999998</v>
      </c>
      <c r="H52">
        <v>3.802</v>
      </c>
    </row>
    <row r="53" spans="1:8" x14ac:dyDescent="0.3">
      <c r="A53">
        <v>60</v>
      </c>
      <c r="B53">
        <v>20</v>
      </c>
      <c r="C53">
        <v>556.48</v>
      </c>
      <c r="D53">
        <v>4.88</v>
      </c>
      <c r="E53">
        <v>2.6</v>
      </c>
      <c r="F53">
        <v>286.60000000000002</v>
      </c>
      <c r="G53">
        <v>289.2</v>
      </c>
      <c r="H53">
        <v>2.7170000000000001</v>
      </c>
    </row>
    <row r="54" spans="1:8" x14ac:dyDescent="0.3">
      <c r="A54">
        <v>60</v>
      </c>
      <c r="B54">
        <v>30</v>
      </c>
      <c r="C54">
        <v>533.16999999999996</v>
      </c>
      <c r="D54">
        <v>5.1050000000000004</v>
      </c>
      <c r="E54">
        <v>2.2999999999999998</v>
      </c>
      <c r="F54">
        <v>290.3</v>
      </c>
      <c r="G54">
        <v>292.60000000000002</v>
      </c>
      <c r="H54">
        <v>2.3130000000000002</v>
      </c>
    </row>
    <row r="55" spans="1:8" x14ac:dyDescent="0.3">
      <c r="A55">
        <v>60</v>
      </c>
      <c r="B55">
        <v>40</v>
      </c>
      <c r="C55">
        <v>519.89499999999998</v>
      </c>
      <c r="D55">
        <v>4.75</v>
      </c>
      <c r="E55">
        <v>2.1</v>
      </c>
      <c r="F55">
        <v>293.60000000000002</v>
      </c>
      <c r="G55">
        <v>295.7</v>
      </c>
      <c r="H55">
        <v>2.105</v>
      </c>
    </row>
    <row r="56" spans="1:8" x14ac:dyDescent="0.3">
      <c r="A56">
        <v>60</v>
      </c>
      <c r="B56">
        <v>50</v>
      </c>
      <c r="C56">
        <v>497.28</v>
      </c>
      <c r="D56">
        <v>5.1550000000000002</v>
      </c>
      <c r="E56">
        <v>1.9</v>
      </c>
      <c r="F56">
        <v>296.7</v>
      </c>
      <c r="G56">
        <v>298.60000000000002</v>
      </c>
      <c r="H56">
        <v>1.9930000000000001</v>
      </c>
    </row>
    <row r="57" spans="1:8" x14ac:dyDescent="0.3">
      <c r="A57">
        <v>60</v>
      </c>
      <c r="B57">
        <v>60</v>
      </c>
      <c r="C57">
        <v>503.495</v>
      </c>
      <c r="D57">
        <v>4.76</v>
      </c>
      <c r="E57">
        <v>1.9</v>
      </c>
      <c r="F57">
        <v>299.7</v>
      </c>
      <c r="G57">
        <v>301.60000000000002</v>
      </c>
      <c r="H57">
        <v>1.915</v>
      </c>
    </row>
    <row r="58" spans="1:8" x14ac:dyDescent="0.3">
      <c r="A58">
        <v>60</v>
      </c>
      <c r="B58">
        <v>70</v>
      </c>
      <c r="C58">
        <v>471.53500000000003</v>
      </c>
      <c r="D58">
        <v>5.27</v>
      </c>
      <c r="E58">
        <v>1.8</v>
      </c>
      <c r="F58">
        <v>302.60000000000002</v>
      </c>
      <c r="G58">
        <v>304.39999999999998</v>
      </c>
      <c r="H58">
        <v>1.865</v>
      </c>
    </row>
    <row r="59" spans="1:8" x14ac:dyDescent="0.3">
      <c r="A59">
        <v>60</v>
      </c>
      <c r="B59">
        <v>80</v>
      </c>
      <c r="C59">
        <v>464.34500000000003</v>
      </c>
      <c r="D59">
        <v>4.7750000000000004</v>
      </c>
      <c r="E59">
        <v>1.8</v>
      </c>
      <c r="F59">
        <v>305.5</v>
      </c>
      <c r="G59">
        <v>307.3</v>
      </c>
      <c r="H59">
        <v>1.829</v>
      </c>
    </row>
    <row r="60" spans="1:8" x14ac:dyDescent="0.3">
      <c r="A60">
        <v>60</v>
      </c>
      <c r="B60">
        <v>90</v>
      </c>
      <c r="C60">
        <v>459.41</v>
      </c>
      <c r="D60">
        <v>5.17</v>
      </c>
      <c r="E60">
        <v>1.8</v>
      </c>
      <c r="F60">
        <v>308.3</v>
      </c>
      <c r="G60">
        <v>310.10000000000002</v>
      </c>
      <c r="H60">
        <v>1.8029999999999999</v>
      </c>
    </row>
    <row r="61" spans="1:8" x14ac:dyDescent="0.3">
      <c r="A61">
        <v>60</v>
      </c>
      <c r="B61">
        <v>100</v>
      </c>
      <c r="C61">
        <v>472.91</v>
      </c>
      <c r="D61">
        <v>5.8449999999999998</v>
      </c>
      <c r="E61">
        <v>1.8</v>
      </c>
      <c r="F61">
        <v>311.10000000000002</v>
      </c>
      <c r="G61">
        <v>312.89999999999998</v>
      </c>
      <c r="H61">
        <v>1.7829999999999999</v>
      </c>
    </row>
    <row r="62" spans="1:8" x14ac:dyDescent="0.3">
      <c r="A62">
        <v>70</v>
      </c>
      <c r="B62">
        <v>10</v>
      </c>
      <c r="C62">
        <v>594.65</v>
      </c>
      <c r="D62">
        <v>4.99</v>
      </c>
      <c r="E62">
        <v>3.4</v>
      </c>
      <c r="F62">
        <v>314.10000000000002</v>
      </c>
      <c r="G62">
        <v>317.5</v>
      </c>
      <c r="H62">
        <v>3.6629999999999998</v>
      </c>
    </row>
    <row r="63" spans="1:8" x14ac:dyDescent="0.3">
      <c r="A63">
        <v>70</v>
      </c>
      <c r="B63">
        <v>20</v>
      </c>
      <c r="C63">
        <v>551.67999999999995</v>
      </c>
      <c r="D63">
        <v>4.5049999999999999</v>
      </c>
      <c r="E63">
        <v>2.6</v>
      </c>
      <c r="F63">
        <v>318.60000000000002</v>
      </c>
      <c r="G63">
        <v>321.2</v>
      </c>
      <c r="H63">
        <v>2.6120000000000001</v>
      </c>
    </row>
    <row r="64" spans="1:8" x14ac:dyDescent="0.3">
      <c r="A64">
        <v>70</v>
      </c>
      <c r="B64">
        <v>30</v>
      </c>
      <c r="C64">
        <v>513.48</v>
      </c>
      <c r="D64">
        <v>4.41</v>
      </c>
      <c r="E64">
        <v>2.1</v>
      </c>
      <c r="F64">
        <v>322.2</v>
      </c>
      <c r="G64">
        <v>324.3</v>
      </c>
      <c r="H64">
        <v>2.1739999999999999</v>
      </c>
    </row>
    <row r="65" spans="1:8" x14ac:dyDescent="0.3">
      <c r="A65">
        <v>70</v>
      </c>
      <c r="B65">
        <v>40</v>
      </c>
      <c r="C65">
        <v>496.13</v>
      </c>
      <c r="D65">
        <v>4.7300000000000004</v>
      </c>
      <c r="E65">
        <v>2</v>
      </c>
      <c r="F65">
        <v>325.39999999999998</v>
      </c>
      <c r="G65">
        <v>327.39999999999998</v>
      </c>
      <c r="H65">
        <v>1.9510000000000001</v>
      </c>
    </row>
    <row r="66" spans="1:8" x14ac:dyDescent="0.3">
      <c r="A66">
        <v>70</v>
      </c>
      <c r="B66">
        <v>50</v>
      </c>
      <c r="C66">
        <v>454.38</v>
      </c>
      <c r="D66">
        <v>4.1349999999999998</v>
      </c>
      <c r="E66">
        <v>1.8</v>
      </c>
      <c r="F66">
        <v>328.4</v>
      </c>
      <c r="G66">
        <v>330.2</v>
      </c>
      <c r="H66">
        <v>1.8280000000000001</v>
      </c>
    </row>
    <row r="67" spans="1:8" x14ac:dyDescent="0.3">
      <c r="A67">
        <v>70</v>
      </c>
      <c r="B67">
        <v>60</v>
      </c>
      <c r="C67">
        <v>435.54</v>
      </c>
      <c r="D67">
        <v>4.9749999999999996</v>
      </c>
      <c r="E67">
        <v>1.7</v>
      </c>
      <c r="F67">
        <v>331.2</v>
      </c>
      <c r="G67">
        <v>332.9</v>
      </c>
      <c r="H67">
        <v>1.744</v>
      </c>
    </row>
    <row r="68" spans="1:8" x14ac:dyDescent="0.3">
      <c r="A68">
        <v>70</v>
      </c>
      <c r="B68">
        <v>70</v>
      </c>
      <c r="C68">
        <v>446.94499999999999</v>
      </c>
      <c r="D68">
        <v>4.33</v>
      </c>
      <c r="E68">
        <v>1.6</v>
      </c>
      <c r="F68">
        <v>334</v>
      </c>
      <c r="G68">
        <v>335.6</v>
      </c>
      <c r="H68">
        <v>1.6910000000000001</v>
      </c>
    </row>
    <row r="69" spans="1:8" x14ac:dyDescent="0.3">
      <c r="A69">
        <v>70</v>
      </c>
      <c r="B69">
        <v>80</v>
      </c>
      <c r="C69">
        <v>502.96499999999997</v>
      </c>
      <c r="D69">
        <v>4.54</v>
      </c>
      <c r="E69">
        <v>1.7</v>
      </c>
      <c r="F69">
        <v>336.6</v>
      </c>
      <c r="G69">
        <v>338.3</v>
      </c>
      <c r="H69">
        <v>1.651</v>
      </c>
    </row>
    <row r="70" spans="1:8" x14ac:dyDescent="0.3">
      <c r="A70">
        <v>70</v>
      </c>
      <c r="B70">
        <v>90</v>
      </c>
      <c r="C70">
        <v>425.54</v>
      </c>
      <c r="D70">
        <v>4.3600000000000003</v>
      </c>
      <c r="E70">
        <v>1.6</v>
      </c>
      <c r="F70">
        <v>339.3</v>
      </c>
      <c r="G70">
        <v>340.9</v>
      </c>
      <c r="H70">
        <v>1.623</v>
      </c>
    </row>
    <row r="71" spans="1:8" x14ac:dyDescent="0.3">
      <c r="A71">
        <v>70</v>
      </c>
      <c r="B71">
        <v>100</v>
      </c>
      <c r="C71">
        <v>496.4</v>
      </c>
      <c r="D71">
        <v>5.6950000000000003</v>
      </c>
      <c r="E71">
        <v>1.6</v>
      </c>
      <c r="F71">
        <v>341.9</v>
      </c>
      <c r="G71">
        <v>343.5</v>
      </c>
      <c r="H71">
        <v>1.603</v>
      </c>
    </row>
    <row r="72" spans="1:8" x14ac:dyDescent="0.3">
      <c r="A72">
        <v>80</v>
      </c>
      <c r="B72">
        <v>10</v>
      </c>
      <c r="C72">
        <v>572.71</v>
      </c>
      <c r="D72">
        <v>4.63</v>
      </c>
      <c r="E72">
        <v>3.3</v>
      </c>
      <c r="F72">
        <v>344.7</v>
      </c>
      <c r="G72">
        <v>348</v>
      </c>
      <c r="H72">
        <v>3.5419999999999998</v>
      </c>
    </row>
    <row r="73" spans="1:8" x14ac:dyDescent="0.3">
      <c r="A73">
        <v>80</v>
      </c>
      <c r="B73">
        <v>20</v>
      </c>
      <c r="C73">
        <v>514.49</v>
      </c>
      <c r="D73">
        <v>4.7149999999999999</v>
      </c>
      <c r="E73">
        <v>2.4</v>
      </c>
      <c r="F73">
        <v>349.2</v>
      </c>
      <c r="G73">
        <v>351.6</v>
      </c>
      <c r="H73">
        <v>2.5259999999999998</v>
      </c>
    </row>
    <row r="74" spans="1:8" x14ac:dyDescent="0.3">
      <c r="A74">
        <v>80</v>
      </c>
      <c r="B74">
        <v>30</v>
      </c>
      <c r="C74">
        <v>496.35500000000002</v>
      </c>
      <c r="D74">
        <v>4.9550000000000001</v>
      </c>
      <c r="E74">
        <v>2</v>
      </c>
      <c r="F74">
        <v>352.7</v>
      </c>
      <c r="G74">
        <v>354.7</v>
      </c>
      <c r="H74">
        <v>2.0779999999999998</v>
      </c>
    </row>
    <row r="75" spans="1:8" x14ac:dyDescent="0.3">
      <c r="A75">
        <v>80</v>
      </c>
      <c r="B75">
        <v>40</v>
      </c>
      <c r="C75">
        <v>482.65</v>
      </c>
      <c r="D75">
        <v>4.8499999999999996</v>
      </c>
      <c r="E75">
        <v>1.8</v>
      </c>
      <c r="F75">
        <v>355.8</v>
      </c>
      <c r="G75">
        <v>357.6</v>
      </c>
      <c r="H75">
        <v>1.841</v>
      </c>
    </row>
    <row r="76" spans="1:8" x14ac:dyDescent="0.3">
      <c r="A76">
        <v>80</v>
      </c>
      <c r="B76">
        <v>50</v>
      </c>
      <c r="C76">
        <v>477.30500000000001</v>
      </c>
      <c r="D76">
        <v>4.4550000000000001</v>
      </c>
      <c r="E76">
        <v>1.7</v>
      </c>
      <c r="F76">
        <v>358.6</v>
      </c>
      <c r="G76">
        <v>360.3</v>
      </c>
      <c r="H76">
        <v>1.7110000000000001</v>
      </c>
    </row>
    <row r="77" spans="1:8" x14ac:dyDescent="0.3">
      <c r="A77">
        <v>80</v>
      </c>
      <c r="B77">
        <v>60</v>
      </c>
      <c r="C77">
        <v>429.96</v>
      </c>
      <c r="D77">
        <v>4.78</v>
      </c>
      <c r="E77">
        <v>1.5</v>
      </c>
      <c r="F77">
        <v>361.3</v>
      </c>
      <c r="G77">
        <v>362.8</v>
      </c>
      <c r="H77">
        <v>1.619</v>
      </c>
    </row>
    <row r="78" spans="1:8" x14ac:dyDescent="0.3">
      <c r="A78">
        <v>80</v>
      </c>
      <c r="B78">
        <v>70</v>
      </c>
      <c r="C78">
        <v>456.315</v>
      </c>
      <c r="D78">
        <v>5.6</v>
      </c>
      <c r="E78">
        <v>1.5</v>
      </c>
      <c r="F78">
        <v>363.9</v>
      </c>
      <c r="G78">
        <v>365.4</v>
      </c>
      <c r="H78">
        <v>1.5629999999999999</v>
      </c>
    </row>
    <row r="79" spans="1:8" x14ac:dyDescent="0.3">
      <c r="A79">
        <v>80</v>
      </c>
      <c r="B79">
        <v>80</v>
      </c>
      <c r="C79">
        <v>476.73500000000001</v>
      </c>
      <c r="D79">
        <v>5.16</v>
      </c>
      <c r="E79">
        <v>1.5</v>
      </c>
      <c r="F79">
        <v>366.5</v>
      </c>
      <c r="G79">
        <v>368</v>
      </c>
      <c r="H79">
        <v>1.524</v>
      </c>
    </row>
    <row r="80" spans="1:8" x14ac:dyDescent="0.3">
      <c r="A80">
        <v>80</v>
      </c>
      <c r="B80">
        <v>90</v>
      </c>
      <c r="C80">
        <v>427.11</v>
      </c>
      <c r="D80">
        <v>5.3650000000000002</v>
      </c>
      <c r="E80">
        <v>1.4</v>
      </c>
      <c r="F80">
        <v>369.1</v>
      </c>
      <c r="G80">
        <v>370.5</v>
      </c>
      <c r="H80">
        <v>1.4950000000000001</v>
      </c>
    </row>
    <row r="81" spans="1:8" x14ac:dyDescent="0.3">
      <c r="A81">
        <v>80</v>
      </c>
      <c r="B81">
        <v>100</v>
      </c>
      <c r="C81">
        <v>418.505</v>
      </c>
      <c r="D81">
        <v>9.2850000000000001</v>
      </c>
      <c r="E81">
        <v>1.3</v>
      </c>
      <c r="F81">
        <v>371.6</v>
      </c>
      <c r="G81">
        <v>372.9</v>
      </c>
      <c r="H81">
        <v>1.4690000000000001</v>
      </c>
    </row>
    <row r="82" spans="1:8" x14ac:dyDescent="0.3">
      <c r="A82">
        <v>90</v>
      </c>
      <c r="B82">
        <v>10</v>
      </c>
      <c r="C82">
        <v>556.1</v>
      </c>
      <c r="D82">
        <v>4.5449999999999999</v>
      </c>
      <c r="E82">
        <v>3.2</v>
      </c>
      <c r="F82">
        <v>374.2</v>
      </c>
      <c r="G82">
        <v>377.4</v>
      </c>
      <c r="H82">
        <v>3.4449999999999998</v>
      </c>
    </row>
    <row r="83" spans="1:8" x14ac:dyDescent="0.3">
      <c r="A83">
        <v>90</v>
      </c>
      <c r="B83">
        <v>20</v>
      </c>
      <c r="C83">
        <v>496.01</v>
      </c>
      <c r="D83">
        <v>4.7300000000000004</v>
      </c>
      <c r="E83">
        <v>2.2999999999999998</v>
      </c>
      <c r="F83">
        <v>378.6</v>
      </c>
      <c r="G83">
        <v>380.9</v>
      </c>
      <c r="H83">
        <v>2.4540000000000002</v>
      </c>
    </row>
    <row r="84" spans="1:8" x14ac:dyDescent="0.3">
      <c r="A84">
        <v>90</v>
      </c>
      <c r="B84">
        <v>30</v>
      </c>
      <c r="C84">
        <v>487.23</v>
      </c>
      <c r="D84">
        <v>4.6050000000000004</v>
      </c>
      <c r="E84">
        <v>2</v>
      </c>
      <c r="F84">
        <v>382</v>
      </c>
      <c r="G84">
        <v>384</v>
      </c>
      <c r="H84">
        <v>2.0129999999999999</v>
      </c>
    </row>
    <row r="85" spans="1:8" x14ac:dyDescent="0.3">
      <c r="A85">
        <v>90</v>
      </c>
      <c r="B85">
        <v>40</v>
      </c>
      <c r="C85">
        <v>479.47500000000002</v>
      </c>
      <c r="D85">
        <v>4.7249999999999996</v>
      </c>
      <c r="E85">
        <v>1.7</v>
      </c>
      <c r="F85">
        <v>385</v>
      </c>
      <c r="G85">
        <v>386.7</v>
      </c>
      <c r="H85">
        <v>1.7649999999999999</v>
      </c>
    </row>
    <row r="86" spans="1:8" x14ac:dyDescent="0.3">
      <c r="A86">
        <v>90</v>
      </c>
      <c r="B86">
        <v>50</v>
      </c>
      <c r="C86">
        <v>449.745</v>
      </c>
      <c r="D86">
        <v>4.8600000000000003</v>
      </c>
      <c r="E86">
        <v>1.5</v>
      </c>
      <c r="F86">
        <v>387.8</v>
      </c>
      <c r="G86">
        <v>389.3</v>
      </c>
      <c r="H86">
        <v>1.6259999999999999</v>
      </c>
    </row>
    <row r="87" spans="1:8" x14ac:dyDescent="0.3">
      <c r="A87">
        <v>90</v>
      </c>
      <c r="B87">
        <v>60</v>
      </c>
      <c r="C87">
        <v>458.32499999999999</v>
      </c>
      <c r="D87">
        <v>5.19</v>
      </c>
      <c r="E87">
        <v>1.4</v>
      </c>
      <c r="F87">
        <v>390.4</v>
      </c>
      <c r="G87">
        <v>391.8</v>
      </c>
      <c r="H87">
        <v>1.5349999999999999</v>
      </c>
    </row>
    <row r="88" spans="1:8" x14ac:dyDescent="0.3">
      <c r="A88">
        <v>90</v>
      </c>
      <c r="B88">
        <v>70</v>
      </c>
      <c r="C88">
        <v>450.56</v>
      </c>
      <c r="D88">
        <v>5.585</v>
      </c>
      <c r="E88">
        <v>1.4</v>
      </c>
      <c r="F88">
        <v>392.9</v>
      </c>
      <c r="G88">
        <v>394.3</v>
      </c>
      <c r="H88">
        <v>1.4690000000000001</v>
      </c>
    </row>
    <row r="89" spans="1:8" x14ac:dyDescent="0.3">
      <c r="A89">
        <v>90</v>
      </c>
      <c r="B89">
        <v>80</v>
      </c>
      <c r="C89">
        <v>437.92500000000001</v>
      </c>
      <c r="D89">
        <v>8.4700000000000006</v>
      </c>
      <c r="E89">
        <v>1.3</v>
      </c>
      <c r="F89">
        <v>395.4</v>
      </c>
      <c r="G89">
        <v>396.7</v>
      </c>
      <c r="H89">
        <v>1.429</v>
      </c>
    </row>
    <row r="90" spans="1:8" x14ac:dyDescent="0.3">
      <c r="A90">
        <v>90</v>
      </c>
      <c r="B90">
        <v>90</v>
      </c>
      <c r="C90">
        <v>450.58499999999998</v>
      </c>
      <c r="D90">
        <v>6.57</v>
      </c>
      <c r="E90">
        <v>1.3</v>
      </c>
      <c r="F90">
        <v>397.9</v>
      </c>
      <c r="G90">
        <v>399.2</v>
      </c>
      <c r="H90">
        <v>1.393</v>
      </c>
    </row>
    <row r="91" spans="1:8" x14ac:dyDescent="0.3">
      <c r="A91">
        <v>90</v>
      </c>
      <c r="B91">
        <v>100</v>
      </c>
      <c r="C91">
        <v>448.07</v>
      </c>
      <c r="D91">
        <v>9.92</v>
      </c>
      <c r="E91">
        <v>1.2</v>
      </c>
      <c r="F91">
        <v>400.3</v>
      </c>
      <c r="G91">
        <v>401.5</v>
      </c>
      <c r="H91">
        <v>1.3640000000000001</v>
      </c>
    </row>
    <row r="92" spans="1:8" x14ac:dyDescent="0.3">
      <c r="A92">
        <v>100</v>
      </c>
      <c r="B92">
        <v>10</v>
      </c>
      <c r="C92">
        <v>550.54999999999995</v>
      </c>
      <c r="D92">
        <v>4.335</v>
      </c>
      <c r="E92">
        <v>3.2</v>
      </c>
      <c r="F92">
        <v>402.8</v>
      </c>
      <c r="G92">
        <v>406</v>
      </c>
      <c r="H92">
        <v>3.411</v>
      </c>
    </row>
    <row r="93" spans="1:8" x14ac:dyDescent="0.3">
      <c r="A93">
        <v>100</v>
      </c>
      <c r="B93">
        <v>20</v>
      </c>
      <c r="C93">
        <v>497.67</v>
      </c>
      <c r="D93">
        <v>4.72</v>
      </c>
      <c r="E93">
        <v>2.2999999999999998</v>
      </c>
      <c r="F93">
        <v>407.1</v>
      </c>
      <c r="G93">
        <v>409.4</v>
      </c>
      <c r="H93">
        <v>2.39</v>
      </c>
    </row>
    <row r="94" spans="1:8" x14ac:dyDescent="0.3">
      <c r="A94">
        <v>100</v>
      </c>
      <c r="B94">
        <v>30</v>
      </c>
      <c r="C94">
        <v>467.09</v>
      </c>
      <c r="D94">
        <v>5.3650000000000002</v>
      </c>
      <c r="E94">
        <v>1.9</v>
      </c>
      <c r="F94">
        <v>410.5</v>
      </c>
      <c r="G94">
        <v>412.4</v>
      </c>
      <c r="H94">
        <v>1.9650000000000001</v>
      </c>
    </row>
    <row r="95" spans="1:8" x14ac:dyDescent="0.3">
      <c r="A95">
        <v>100</v>
      </c>
      <c r="B95">
        <v>40</v>
      </c>
      <c r="C95">
        <v>451</v>
      </c>
      <c r="D95">
        <v>4.37</v>
      </c>
      <c r="E95">
        <v>1.6</v>
      </c>
      <c r="F95">
        <v>413.5</v>
      </c>
      <c r="G95">
        <v>415.1</v>
      </c>
      <c r="H95">
        <v>1.7110000000000001</v>
      </c>
    </row>
    <row r="96" spans="1:8" x14ac:dyDescent="0.3">
      <c r="A96">
        <v>100</v>
      </c>
      <c r="B96">
        <v>50</v>
      </c>
      <c r="C96">
        <v>447.08499999999998</v>
      </c>
      <c r="D96">
        <v>4.91</v>
      </c>
      <c r="E96">
        <v>1.5</v>
      </c>
      <c r="F96">
        <v>416.1</v>
      </c>
      <c r="G96">
        <v>417.6</v>
      </c>
      <c r="H96">
        <v>1.5649999999999999</v>
      </c>
    </row>
    <row r="97" spans="1:8" x14ac:dyDescent="0.3">
      <c r="A97">
        <v>100</v>
      </c>
      <c r="B97">
        <v>60</v>
      </c>
      <c r="C97">
        <v>450.70499999999998</v>
      </c>
      <c r="D97">
        <v>5.0049999999999999</v>
      </c>
      <c r="E97">
        <v>1.4</v>
      </c>
      <c r="F97">
        <v>418.7</v>
      </c>
      <c r="G97">
        <v>420.1</v>
      </c>
      <c r="H97">
        <v>1.4630000000000001</v>
      </c>
    </row>
    <row r="98" spans="1:8" x14ac:dyDescent="0.3">
      <c r="A98">
        <v>100</v>
      </c>
      <c r="B98">
        <v>70</v>
      </c>
      <c r="C98">
        <v>437.98</v>
      </c>
      <c r="D98">
        <v>5.51</v>
      </c>
      <c r="E98">
        <v>1.3</v>
      </c>
      <c r="F98">
        <v>421.2</v>
      </c>
      <c r="G98">
        <v>422.5</v>
      </c>
      <c r="H98">
        <v>1.399</v>
      </c>
    </row>
    <row r="99" spans="1:8" x14ac:dyDescent="0.3">
      <c r="A99">
        <v>100</v>
      </c>
      <c r="B99">
        <v>80</v>
      </c>
      <c r="C99">
        <v>447.53</v>
      </c>
      <c r="D99">
        <v>6.6749999999999998</v>
      </c>
      <c r="E99">
        <v>1.3</v>
      </c>
      <c r="F99">
        <v>423.6</v>
      </c>
      <c r="G99">
        <v>424.9</v>
      </c>
      <c r="H99">
        <v>1.3520000000000001</v>
      </c>
    </row>
    <row r="100" spans="1:8" x14ac:dyDescent="0.3">
      <c r="A100">
        <v>100</v>
      </c>
      <c r="B100">
        <v>90</v>
      </c>
      <c r="C100">
        <v>437.18</v>
      </c>
      <c r="D100">
        <v>9.0250000000000004</v>
      </c>
      <c r="E100">
        <v>1.2</v>
      </c>
      <c r="F100">
        <v>426</v>
      </c>
      <c r="G100">
        <v>427.2</v>
      </c>
      <c r="H100">
        <v>1.3140000000000001</v>
      </c>
    </row>
    <row r="101" spans="1:8" x14ac:dyDescent="0.3">
      <c r="A101">
        <v>100</v>
      </c>
      <c r="B101">
        <v>100</v>
      </c>
      <c r="C101">
        <v>471.21499999999997</v>
      </c>
      <c r="D101">
        <v>79.48</v>
      </c>
      <c r="E101">
        <v>1.2</v>
      </c>
      <c r="F101">
        <v>428.3</v>
      </c>
      <c r="G101">
        <v>429.5</v>
      </c>
      <c r="H101">
        <v>1.2869999999999999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DCB5E-0768-4989-87E6-0D2BF8378ABC}">
  <dimension ref="A1:H101"/>
  <sheetViews>
    <sheetView workbookViewId="0">
      <selection sqref="A1:H1048576"/>
    </sheetView>
  </sheetViews>
  <sheetFormatPr defaultRowHeight="14.4" x14ac:dyDescent="0.3"/>
  <cols>
    <col min="1" max="1" width="6" bestFit="1" customWidth="1"/>
    <col min="2" max="2" width="5.5546875" bestFit="1" customWidth="1"/>
    <col min="3" max="3" width="13.6640625" bestFit="1" customWidth="1"/>
    <col min="4" max="4" width="13.33203125" bestFit="1" customWidth="1"/>
    <col min="5" max="5" width="14.88671875" bestFit="1" customWidth="1"/>
    <col min="6" max="6" width="11.6640625" bestFit="1" customWidth="1"/>
    <col min="7" max="7" width="10.88671875" bestFit="1" customWidth="1"/>
  </cols>
  <sheetData>
    <row r="1" spans="1:8" x14ac:dyDescent="0.3">
      <c r="A1" t="s">
        <v>16</v>
      </c>
      <c r="B1" t="s">
        <v>17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14</v>
      </c>
    </row>
    <row r="2" spans="1:8" x14ac:dyDescent="0.3">
      <c r="A2">
        <v>10</v>
      </c>
      <c r="B2">
        <v>10</v>
      </c>
      <c r="C2">
        <v>1118.21</v>
      </c>
      <c r="D2">
        <v>4.37</v>
      </c>
      <c r="E2">
        <v>9.3000000000000007</v>
      </c>
      <c r="F2">
        <v>5.7</v>
      </c>
      <c r="G2">
        <v>15</v>
      </c>
      <c r="H2">
        <v>9.6340000000000003</v>
      </c>
    </row>
    <row r="3" spans="1:8" x14ac:dyDescent="0.3">
      <c r="A3">
        <v>10</v>
      </c>
      <c r="B3">
        <v>20</v>
      </c>
      <c r="C3">
        <v>1089.6500000000001</v>
      </c>
      <c r="D3">
        <v>5.29</v>
      </c>
      <c r="E3">
        <v>9</v>
      </c>
      <c r="F3">
        <v>16.2</v>
      </c>
      <c r="G3">
        <v>25.2</v>
      </c>
      <c r="H3">
        <v>9.1379999999999999</v>
      </c>
    </row>
    <row r="4" spans="1:8" x14ac:dyDescent="0.3">
      <c r="A4">
        <v>10</v>
      </c>
      <c r="B4">
        <v>30</v>
      </c>
      <c r="C4">
        <v>1067.1199999999999</v>
      </c>
      <c r="D4">
        <v>4.8250000000000002</v>
      </c>
      <c r="E4">
        <v>8.8000000000000007</v>
      </c>
      <c r="F4">
        <v>26.4</v>
      </c>
      <c r="G4">
        <v>35.200000000000003</v>
      </c>
      <c r="H4">
        <v>8.9740000000000002</v>
      </c>
    </row>
    <row r="5" spans="1:8" x14ac:dyDescent="0.3">
      <c r="A5">
        <v>10</v>
      </c>
      <c r="B5">
        <v>40</v>
      </c>
      <c r="C5">
        <v>1067.2049999999999</v>
      </c>
      <c r="D5">
        <v>4.875</v>
      </c>
      <c r="E5">
        <v>8.8000000000000007</v>
      </c>
      <c r="F5">
        <v>36.299999999999997</v>
      </c>
      <c r="G5">
        <v>45.1</v>
      </c>
      <c r="H5">
        <v>8.8859999999999992</v>
      </c>
    </row>
    <row r="6" spans="1:8" x14ac:dyDescent="0.3">
      <c r="A6">
        <v>10</v>
      </c>
      <c r="B6">
        <v>50</v>
      </c>
      <c r="C6">
        <v>1082.0150000000001</v>
      </c>
      <c r="D6">
        <v>4.96</v>
      </c>
      <c r="E6">
        <v>8.9</v>
      </c>
      <c r="F6">
        <v>46.2</v>
      </c>
      <c r="G6">
        <v>55.1</v>
      </c>
      <c r="H6">
        <v>8.8420000000000005</v>
      </c>
    </row>
    <row r="7" spans="1:8" x14ac:dyDescent="0.3">
      <c r="A7">
        <v>10</v>
      </c>
      <c r="B7">
        <v>60</v>
      </c>
      <c r="C7">
        <v>1058.9449999999999</v>
      </c>
      <c r="D7">
        <v>5.14</v>
      </c>
      <c r="E7">
        <v>8.6999999999999993</v>
      </c>
      <c r="F7">
        <v>56.1</v>
      </c>
      <c r="G7">
        <v>64.8</v>
      </c>
      <c r="H7">
        <v>8.8000000000000007</v>
      </c>
    </row>
    <row r="8" spans="1:8" x14ac:dyDescent="0.3">
      <c r="A8">
        <v>10</v>
      </c>
      <c r="B8">
        <v>70</v>
      </c>
      <c r="C8">
        <v>1070.19</v>
      </c>
      <c r="D8">
        <v>4.04</v>
      </c>
      <c r="E8">
        <v>8.8000000000000007</v>
      </c>
      <c r="F8">
        <v>65.900000000000006</v>
      </c>
      <c r="G8">
        <v>74.7</v>
      </c>
      <c r="H8">
        <v>8.7799999999999994</v>
      </c>
    </row>
    <row r="9" spans="1:8" x14ac:dyDescent="0.3">
      <c r="A9">
        <v>10</v>
      </c>
      <c r="B9">
        <v>80</v>
      </c>
      <c r="C9">
        <v>1070.1099999999999</v>
      </c>
      <c r="D9">
        <v>4.53</v>
      </c>
      <c r="E9">
        <v>8.8000000000000007</v>
      </c>
      <c r="F9">
        <v>75.599999999999994</v>
      </c>
      <c r="G9">
        <v>84.4</v>
      </c>
      <c r="H9">
        <v>8.766</v>
      </c>
    </row>
    <row r="10" spans="1:8" x14ac:dyDescent="0.3">
      <c r="A10">
        <v>10</v>
      </c>
      <c r="B10">
        <v>90</v>
      </c>
      <c r="C10">
        <v>1068.96</v>
      </c>
      <c r="D10">
        <v>4.0750000000000002</v>
      </c>
      <c r="E10">
        <v>8.8000000000000007</v>
      </c>
      <c r="F10">
        <v>85.4</v>
      </c>
      <c r="G10">
        <v>94.2</v>
      </c>
      <c r="H10">
        <v>8.7539999999999996</v>
      </c>
    </row>
    <row r="11" spans="1:8" x14ac:dyDescent="0.3">
      <c r="A11">
        <v>10</v>
      </c>
      <c r="B11">
        <v>100</v>
      </c>
      <c r="C11">
        <v>1082.3499999999999</v>
      </c>
      <c r="D11">
        <v>5.3550000000000004</v>
      </c>
      <c r="E11">
        <v>8.9</v>
      </c>
      <c r="F11">
        <v>95.1</v>
      </c>
      <c r="G11">
        <v>104</v>
      </c>
      <c r="H11">
        <v>8.7460000000000004</v>
      </c>
    </row>
    <row r="12" spans="1:8" x14ac:dyDescent="0.3">
      <c r="A12">
        <v>20</v>
      </c>
      <c r="B12">
        <v>10</v>
      </c>
      <c r="C12">
        <v>761.74</v>
      </c>
      <c r="D12">
        <v>4.6349999999999998</v>
      </c>
      <c r="E12">
        <v>5.4</v>
      </c>
      <c r="F12">
        <v>105.1</v>
      </c>
      <c r="G12">
        <v>110.5</v>
      </c>
      <c r="H12">
        <v>5.7610000000000001</v>
      </c>
    </row>
    <row r="13" spans="1:8" x14ac:dyDescent="0.3">
      <c r="A13">
        <v>20</v>
      </c>
      <c r="B13">
        <v>20</v>
      </c>
      <c r="C13">
        <v>711.35</v>
      </c>
      <c r="D13">
        <v>4.8049999999999997</v>
      </c>
      <c r="E13">
        <v>4.9000000000000004</v>
      </c>
      <c r="F13">
        <v>111.8</v>
      </c>
      <c r="G13">
        <v>116.7</v>
      </c>
      <c r="H13">
        <v>5.0599999999999996</v>
      </c>
    </row>
    <row r="14" spans="1:8" x14ac:dyDescent="0.3">
      <c r="A14">
        <v>20</v>
      </c>
      <c r="B14">
        <v>30</v>
      </c>
      <c r="C14">
        <v>699.82</v>
      </c>
      <c r="D14">
        <v>4.53</v>
      </c>
      <c r="E14">
        <v>4.8</v>
      </c>
      <c r="F14">
        <v>117.8</v>
      </c>
      <c r="G14">
        <v>122.6</v>
      </c>
      <c r="H14">
        <v>4.83</v>
      </c>
    </row>
    <row r="15" spans="1:8" x14ac:dyDescent="0.3">
      <c r="A15">
        <v>20</v>
      </c>
      <c r="B15">
        <v>40</v>
      </c>
      <c r="C15">
        <v>690.09</v>
      </c>
      <c r="D15">
        <v>4.7</v>
      </c>
      <c r="E15">
        <v>4.7</v>
      </c>
      <c r="F15">
        <v>123.6</v>
      </c>
      <c r="G15">
        <v>128.30000000000001</v>
      </c>
      <c r="H15">
        <v>4.71</v>
      </c>
    </row>
    <row r="16" spans="1:8" x14ac:dyDescent="0.3">
      <c r="A16">
        <v>20</v>
      </c>
      <c r="B16">
        <v>50</v>
      </c>
      <c r="C16">
        <v>692.38499999999999</v>
      </c>
      <c r="D16">
        <v>5.14</v>
      </c>
      <c r="E16">
        <v>4.7</v>
      </c>
      <c r="F16">
        <v>129.30000000000001</v>
      </c>
      <c r="G16">
        <v>134</v>
      </c>
      <c r="H16">
        <v>4.6340000000000003</v>
      </c>
    </row>
    <row r="17" spans="1:8" x14ac:dyDescent="0.3">
      <c r="A17">
        <v>20</v>
      </c>
      <c r="B17">
        <v>60</v>
      </c>
      <c r="C17">
        <v>681.57</v>
      </c>
      <c r="D17">
        <v>5.16</v>
      </c>
      <c r="E17">
        <v>4.5999999999999996</v>
      </c>
      <c r="F17">
        <v>135</v>
      </c>
      <c r="G17">
        <v>139.6</v>
      </c>
      <c r="H17">
        <v>4.593</v>
      </c>
    </row>
    <row r="18" spans="1:8" x14ac:dyDescent="0.3">
      <c r="A18">
        <v>20</v>
      </c>
      <c r="B18">
        <v>70</v>
      </c>
      <c r="C18">
        <v>681.65</v>
      </c>
      <c r="D18">
        <v>4.4850000000000003</v>
      </c>
      <c r="E18">
        <v>4.5999999999999996</v>
      </c>
      <c r="F18">
        <v>140.6</v>
      </c>
      <c r="G18">
        <v>145.19999999999999</v>
      </c>
      <c r="H18">
        <v>4.5620000000000003</v>
      </c>
    </row>
    <row r="19" spans="1:8" x14ac:dyDescent="0.3">
      <c r="A19">
        <v>20</v>
      </c>
      <c r="B19">
        <v>80</v>
      </c>
      <c r="C19">
        <v>680.2</v>
      </c>
      <c r="D19">
        <v>4.7300000000000004</v>
      </c>
      <c r="E19">
        <v>4.5999999999999996</v>
      </c>
      <c r="F19">
        <v>146.1</v>
      </c>
      <c r="G19">
        <v>150.69999999999999</v>
      </c>
      <c r="H19">
        <v>4.5410000000000004</v>
      </c>
    </row>
    <row r="20" spans="1:8" x14ac:dyDescent="0.3">
      <c r="A20">
        <v>20</v>
      </c>
      <c r="B20">
        <v>90</v>
      </c>
      <c r="C20">
        <v>667.78499999999997</v>
      </c>
      <c r="D20">
        <v>5.5449999999999999</v>
      </c>
      <c r="E20">
        <v>4.5</v>
      </c>
      <c r="F20">
        <v>151.69999999999999</v>
      </c>
      <c r="G20">
        <v>156.19999999999999</v>
      </c>
      <c r="H20">
        <v>4.5279999999999996</v>
      </c>
    </row>
    <row r="21" spans="1:8" x14ac:dyDescent="0.3">
      <c r="A21">
        <v>20</v>
      </c>
      <c r="B21">
        <v>100</v>
      </c>
      <c r="C21">
        <v>667.48</v>
      </c>
      <c r="D21">
        <v>5.36</v>
      </c>
      <c r="E21">
        <v>4.5</v>
      </c>
      <c r="F21">
        <v>157.30000000000001</v>
      </c>
      <c r="G21">
        <v>161.80000000000001</v>
      </c>
      <c r="H21">
        <v>4.516</v>
      </c>
    </row>
    <row r="22" spans="1:8" x14ac:dyDescent="0.3">
      <c r="A22">
        <v>30</v>
      </c>
      <c r="B22">
        <v>10</v>
      </c>
      <c r="C22">
        <v>671.55499999999995</v>
      </c>
      <c r="D22">
        <v>4.8449999999999998</v>
      </c>
      <c r="E22">
        <v>4.4000000000000004</v>
      </c>
      <c r="F22">
        <v>162.9</v>
      </c>
      <c r="G22">
        <v>167.3</v>
      </c>
      <c r="H22">
        <v>4.6509999999999998</v>
      </c>
    </row>
    <row r="23" spans="1:8" x14ac:dyDescent="0.3">
      <c r="A23">
        <v>30</v>
      </c>
      <c r="B23">
        <v>20</v>
      </c>
      <c r="C23">
        <v>608.73</v>
      </c>
      <c r="D23">
        <v>5.16</v>
      </c>
      <c r="E23">
        <v>3.7</v>
      </c>
      <c r="F23">
        <v>168.5</v>
      </c>
      <c r="G23">
        <v>172.2</v>
      </c>
      <c r="H23">
        <v>3.7869999999999999</v>
      </c>
    </row>
    <row r="24" spans="1:8" x14ac:dyDescent="0.3">
      <c r="A24">
        <v>30</v>
      </c>
      <c r="B24">
        <v>30</v>
      </c>
      <c r="C24">
        <v>584.20000000000005</v>
      </c>
      <c r="D24">
        <v>5.24</v>
      </c>
      <c r="E24">
        <v>3.4</v>
      </c>
      <c r="F24">
        <v>173.3</v>
      </c>
      <c r="G24">
        <v>176.7</v>
      </c>
      <c r="H24">
        <v>3.4990000000000001</v>
      </c>
    </row>
    <row r="25" spans="1:8" x14ac:dyDescent="0.3">
      <c r="A25">
        <v>30</v>
      </c>
      <c r="B25">
        <v>40</v>
      </c>
      <c r="C25">
        <v>562.72</v>
      </c>
      <c r="D25">
        <v>5.2050000000000001</v>
      </c>
      <c r="E25">
        <v>3.2</v>
      </c>
      <c r="F25">
        <v>177.8</v>
      </c>
      <c r="G25">
        <v>181</v>
      </c>
      <c r="H25">
        <v>3.3530000000000002</v>
      </c>
    </row>
    <row r="26" spans="1:8" x14ac:dyDescent="0.3">
      <c r="A26">
        <v>30</v>
      </c>
      <c r="B26">
        <v>50</v>
      </c>
      <c r="C26">
        <v>577.61</v>
      </c>
      <c r="D26">
        <v>5.13</v>
      </c>
      <c r="E26">
        <v>3.3</v>
      </c>
      <c r="F26">
        <v>182.1</v>
      </c>
      <c r="G26">
        <v>185.4</v>
      </c>
      <c r="H26">
        <v>3.2719999999999998</v>
      </c>
    </row>
    <row r="27" spans="1:8" x14ac:dyDescent="0.3">
      <c r="A27">
        <v>30</v>
      </c>
      <c r="B27">
        <v>60</v>
      </c>
      <c r="C27">
        <v>550.68499999999995</v>
      </c>
      <c r="D27">
        <v>4.9000000000000004</v>
      </c>
      <c r="E27">
        <v>3.2</v>
      </c>
      <c r="F27">
        <v>186.4</v>
      </c>
      <c r="G27">
        <v>189.6</v>
      </c>
      <c r="H27">
        <v>3.22</v>
      </c>
    </row>
    <row r="28" spans="1:8" x14ac:dyDescent="0.3">
      <c r="A28">
        <v>30</v>
      </c>
      <c r="B28">
        <v>70</v>
      </c>
      <c r="C28">
        <v>563.18499999999995</v>
      </c>
      <c r="D28">
        <v>4.665</v>
      </c>
      <c r="E28">
        <v>3.2</v>
      </c>
      <c r="F28">
        <v>190.6</v>
      </c>
      <c r="G28">
        <v>193.8</v>
      </c>
      <c r="H28">
        <v>3.181</v>
      </c>
    </row>
    <row r="29" spans="1:8" x14ac:dyDescent="0.3">
      <c r="A29">
        <v>30</v>
      </c>
      <c r="B29">
        <v>80</v>
      </c>
      <c r="C29">
        <v>548.755</v>
      </c>
      <c r="D29">
        <v>4.7450000000000001</v>
      </c>
      <c r="E29">
        <v>3.2</v>
      </c>
      <c r="F29">
        <v>194.8</v>
      </c>
      <c r="G29">
        <v>198</v>
      </c>
      <c r="H29">
        <v>3.16</v>
      </c>
    </row>
    <row r="30" spans="1:8" x14ac:dyDescent="0.3">
      <c r="A30">
        <v>30</v>
      </c>
      <c r="B30">
        <v>90</v>
      </c>
      <c r="C30">
        <v>567.79</v>
      </c>
      <c r="D30">
        <v>4.3600000000000003</v>
      </c>
      <c r="E30">
        <v>3.2</v>
      </c>
      <c r="F30">
        <v>199</v>
      </c>
      <c r="G30">
        <v>202.2</v>
      </c>
      <c r="H30">
        <v>3.1419999999999999</v>
      </c>
    </row>
    <row r="31" spans="1:8" x14ac:dyDescent="0.3">
      <c r="A31">
        <v>30</v>
      </c>
      <c r="B31">
        <v>100</v>
      </c>
      <c r="C31">
        <v>542.84</v>
      </c>
      <c r="D31">
        <v>5.78</v>
      </c>
      <c r="E31">
        <v>3.1</v>
      </c>
      <c r="F31">
        <v>203.1</v>
      </c>
      <c r="G31">
        <v>206.2</v>
      </c>
      <c r="H31">
        <v>3.13</v>
      </c>
    </row>
    <row r="32" spans="1:8" x14ac:dyDescent="0.3">
      <c r="A32">
        <v>40</v>
      </c>
      <c r="B32">
        <v>10</v>
      </c>
      <c r="C32">
        <v>626.63499999999999</v>
      </c>
      <c r="D32">
        <v>3.875</v>
      </c>
      <c r="E32">
        <v>3.9</v>
      </c>
      <c r="F32">
        <v>207.4</v>
      </c>
      <c r="G32">
        <v>211.3</v>
      </c>
      <c r="H32">
        <v>4.2039999999999997</v>
      </c>
    </row>
    <row r="33" spans="1:8" x14ac:dyDescent="0.3">
      <c r="A33">
        <v>40</v>
      </c>
      <c r="B33">
        <v>20</v>
      </c>
      <c r="C33">
        <v>574.90499999999997</v>
      </c>
      <c r="D33">
        <v>5.3250000000000002</v>
      </c>
      <c r="E33">
        <v>3.2</v>
      </c>
      <c r="F33">
        <v>212.5</v>
      </c>
      <c r="G33">
        <v>215.7</v>
      </c>
      <c r="H33">
        <v>3.206</v>
      </c>
    </row>
    <row r="34" spans="1:8" x14ac:dyDescent="0.3">
      <c r="A34">
        <v>40</v>
      </c>
      <c r="B34">
        <v>30</v>
      </c>
      <c r="C34">
        <v>531.20500000000004</v>
      </c>
      <c r="D34">
        <v>5</v>
      </c>
      <c r="E34">
        <v>2.7</v>
      </c>
      <c r="F34">
        <v>216.8</v>
      </c>
      <c r="G34">
        <v>219.5</v>
      </c>
      <c r="H34">
        <v>2.8759999999999999</v>
      </c>
    </row>
    <row r="35" spans="1:8" x14ac:dyDescent="0.3">
      <c r="A35">
        <v>40</v>
      </c>
      <c r="B35">
        <v>40</v>
      </c>
      <c r="C35">
        <v>514.65499999999997</v>
      </c>
      <c r="D35">
        <v>5.0049999999999999</v>
      </c>
      <c r="E35">
        <v>2.7</v>
      </c>
      <c r="F35">
        <v>220.6</v>
      </c>
      <c r="G35">
        <v>223.3</v>
      </c>
      <c r="H35">
        <v>2.7050000000000001</v>
      </c>
    </row>
    <row r="36" spans="1:8" x14ac:dyDescent="0.3">
      <c r="A36">
        <v>40</v>
      </c>
      <c r="B36">
        <v>50</v>
      </c>
      <c r="C36">
        <v>506.69499999999999</v>
      </c>
      <c r="D36">
        <v>4.6950000000000003</v>
      </c>
      <c r="E36">
        <v>2.6</v>
      </c>
      <c r="F36">
        <v>224.3</v>
      </c>
      <c r="G36">
        <v>226.9</v>
      </c>
      <c r="H36">
        <v>2.61</v>
      </c>
    </row>
    <row r="37" spans="1:8" x14ac:dyDescent="0.3">
      <c r="A37">
        <v>40</v>
      </c>
      <c r="B37">
        <v>60</v>
      </c>
      <c r="C37">
        <v>503.77</v>
      </c>
      <c r="D37">
        <v>4.88</v>
      </c>
      <c r="E37">
        <v>2.6</v>
      </c>
      <c r="F37">
        <v>227.9</v>
      </c>
      <c r="G37">
        <v>230.5</v>
      </c>
      <c r="H37">
        <v>2.5510000000000002</v>
      </c>
    </row>
    <row r="38" spans="1:8" x14ac:dyDescent="0.3">
      <c r="A38">
        <v>40</v>
      </c>
      <c r="B38">
        <v>70</v>
      </c>
      <c r="C38">
        <v>497.27</v>
      </c>
      <c r="D38">
        <v>4.9649999999999999</v>
      </c>
      <c r="E38">
        <v>2.5</v>
      </c>
      <c r="F38">
        <v>231.5</v>
      </c>
      <c r="G38">
        <v>234</v>
      </c>
      <c r="H38">
        <v>2.508</v>
      </c>
    </row>
    <row r="39" spans="1:8" x14ac:dyDescent="0.3">
      <c r="A39">
        <v>40</v>
      </c>
      <c r="B39">
        <v>80</v>
      </c>
      <c r="C39">
        <v>514.01</v>
      </c>
      <c r="D39">
        <v>4.8150000000000004</v>
      </c>
      <c r="E39">
        <v>2.5</v>
      </c>
      <c r="F39">
        <v>235</v>
      </c>
      <c r="G39">
        <v>237.5</v>
      </c>
      <c r="H39">
        <v>2.484</v>
      </c>
    </row>
    <row r="40" spans="1:8" x14ac:dyDescent="0.3">
      <c r="A40">
        <v>40</v>
      </c>
      <c r="B40">
        <v>90</v>
      </c>
      <c r="C40">
        <v>498.85</v>
      </c>
      <c r="D40">
        <v>5</v>
      </c>
      <c r="E40">
        <v>2.5</v>
      </c>
      <c r="F40">
        <v>238.5</v>
      </c>
      <c r="G40">
        <v>241</v>
      </c>
      <c r="H40">
        <v>2.4630000000000001</v>
      </c>
    </row>
    <row r="41" spans="1:8" x14ac:dyDescent="0.3">
      <c r="A41">
        <v>40</v>
      </c>
      <c r="B41">
        <v>100</v>
      </c>
      <c r="C41">
        <v>495.11500000000001</v>
      </c>
      <c r="D41">
        <v>5.7850000000000001</v>
      </c>
      <c r="E41">
        <v>2.4</v>
      </c>
      <c r="F41">
        <v>242</v>
      </c>
      <c r="G41">
        <v>244.4</v>
      </c>
      <c r="H41">
        <v>2.4460000000000002</v>
      </c>
    </row>
    <row r="42" spans="1:8" x14ac:dyDescent="0.3">
      <c r="A42">
        <v>50</v>
      </c>
      <c r="B42">
        <v>10</v>
      </c>
      <c r="C42">
        <v>611.79999999999995</v>
      </c>
      <c r="D42">
        <v>5.0449999999999999</v>
      </c>
      <c r="E42">
        <v>3.7</v>
      </c>
      <c r="F42">
        <v>245.6</v>
      </c>
      <c r="G42">
        <v>249.3</v>
      </c>
      <c r="H42">
        <v>3.9790000000000001</v>
      </c>
    </row>
    <row r="43" spans="1:8" x14ac:dyDescent="0.3">
      <c r="A43">
        <v>50</v>
      </c>
      <c r="B43">
        <v>20</v>
      </c>
      <c r="C43">
        <v>541.02499999999998</v>
      </c>
      <c r="D43">
        <v>4.9649999999999999</v>
      </c>
      <c r="E43">
        <v>2.8</v>
      </c>
      <c r="F43">
        <v>250.5</v>
      </c>
      <c r="G43">
        <v>253.3</v>
      </c>
      <c r="H43">
        <v>2.8940000000000001</v>
      </c>
    </row>
    <row r="44" spans="1:8" x14ac:dyDescent="0.3">
      <c r="A44">
        <v>50</v>
      </c>
      <c r="B44">
        <v>30</v>
      </c>
      <c r="C44">
        <v>515.90499999999997</v>
      </c>
      <c r="D44">
        <v>5.35</v>
      </c>
      <c r="E44">
        <v>2.4</v>
      </c>
      <c r="F44">
        <v>254.4</v>
      </c>
      <c r="G44">
        <v>256.8</v>
      </c>
      <c r="H44">
        <v>2.524</v>
      </c>
    </row>
    <row r="45" spans="1:8" x14ac:dyDescent="0.3">
      <c r="A45">
        <v>50</v>
      </c>
      <c r="B45">
        <v>40</v>
      </c>
      <c r="C45">
        <v>514.16999999999996</v>
      </c>
      <c r="D45">
        <v>4.63</v>
      </c>
      <c r="E45">
        <v>2.2999999999999998</v>
      </c>
      <c r="F45">
        <v>257.89999999999998</v>
      </c>
      <c r="G45">
        <v>260.2</v>
      </c>
      <c r="H45">
        <v>2.34</v>
      </c>
    </row>
    <row r="46" spans="1:8" x14ac:dyDescent="0.3">
      <c r="A46">
        <v>50</v>
      </c>
      <c r="B46">
        <v>50</v>
      </c>
      <c r="C46">
        <v>519.97500000000002</v>
      </c>
      <c r="D46">
        <v>4.58</v>
      </c>
      <c r="E46">
        <v>2.2999999999999998</v>
      </c>
      <c r="F46">
        <v>261.2</v>
      </c>
      <c r="G46">
        <v>263.5</v>
      </c>
      <c r="H46">
        <v>2.2309999999999999</v>
      </c>
    </row>
    <row r="47" spans="1:8" x14ac:dyDescent="0.3">
      <c r="A47">
        <v>50</v>
      </c>
      <c r="B47">
        <v>60</v>
      </c>
      <c r="C47">
        <v>497.47</v>
      </c>
      <c r="D47">
        <v>4.9550000000000001</v>
      </c>
      <c r="E47">
        <v>2.1</v>
      </c>
      <c r="F47">
        <v>264.5</v>
      </c>
      <c r="G47">
        <v>266.60000000000002</v>
      </c>
      <c r="H47">
        <v>2.1659999999999999</v>
      </c>
    </row>
    <row r="48" spans="1:8" x14ac:dyDescent="0.3">
      <c r="A48">
        <v>50</v>
      </c>
      <c r="B48">
        <v>70</v>
      </c>
      <c r="C48">
        <v>495.27</v>
      </c>
      <c r="D48">
        <v>5.25</v>
      </c>
      <c r="E48">
        <v>2.1</v>
      </c>
      <c r="F48">
        <v>267.60000000000002</v>
      </c>
      <c r="G48">
        <v>269.7</v>
      </c>
      <c r="H48">
        <v>2.1160000000000001</v>
      </c>
    </row>
    <row r="49" spans="1:8" x14ac:dyDescent="0.3">
      <c r="A49">
        <v>50</v>
      </c>
      <c r="B49">
        <v>80</v>
      </c>
      <c r="C49">
        <v>489.89499999999998</v>
      </c>
      <c r="D49">
        <v>4.6749999999999998</v>
      </c>
      <c r="E49">
        <v>2</v>
      </c>
      <c r="F49">
        <v>270.8</v>
      </c>
      <c r="G49">
        <v>272.8</v>
      </c>
      <c r="H49">
        <v>2.085</v>
      </c>
    </row>
    <row r="50" spans="1:8" x14ac:dyDescent="0.3">
      <c r="A50">
        <v>50</v>
      </c>
      <c r="B50">
        <v>90</v>
      </c>
      <c r="C50">
        <v>496.73</v>
      </c>
      <c r="D50">
        <v>4.4850000000000003</v>
      </c>
      <c r="E50">
        <v>2.1</v>
      </c>
      <c r="F50">
        <v>273.8</v>
      </c>
      <c r="G50">
        <v>275.89999999999998</v>
      </c>
      <c r="H50">
        <v>2.0630000000000002</v>
      </c>
    </row>
    <row r="51" spans="1:8" x14ac:dyDescent="0.3">
      <c r="A51">
        <v>50</v>
      </c>
      <c r="B51">
        <v>100</v>
      </c>
      <c r="C51">
        <v>479.61500000000001</v>
      </c>
      <c r="D51">
        <v>6.1349999999999998</v>
      </c>
      <c r="E51">
        <v>2</v>
      </c>
      <c r="F51">
        <v>276.89999999999998</v>
      </c>
      <c r="G51">
        <v>278.89999999999998</v>
      </c>
      <c r="H51">
        <v>2.0430000000000001</v>
      </c>
    </row>
    <row r="52" spans="1:8" x14ac:dyDescent="0.3">
      <c r="A52">
        <v>60</v>
      </c>
      <c r="B52">
        <v>10</v>
      </c>
      <c r="C52">
        <v>599.07000000000005</v>
      </c>
      <c r="D52">
        <v>5.6</v>
      </c>
      <c r="E52">
        <v>3.5</v>
      </c>
      <c r="F52">
        <v>280.10000000000002</v>
      </c>
      <c r="G52">
        <v>283.60000000000002</v>
      </c>
      <c r="H52">
        <v>3.8010000000000002</v>
      </c>
    </row>
    <row r="53" spans="1:8" x14ac:dyDescent="0.3">
      <c r="A53">
        <v>60</v>
      </c>
      <c r="B53">
        <v>20</v>
      </c>
      <c r="C53">
        <v>537.76</v>
      </c>
      <c r="D53">
        <v>5.39</v>
      </c>
      <c r="E53">
        <v>2.6</v>
      </c>
      <c r="F53">
        <v>284.89999999999998</v>
      </c>
      <c r="G53">
        <v>287.5</v>
      </c>
      <c r="H53">
        <v>2.7160000000000002</v>
      </c>
    </row>
    <row r="54" spans="1:8" x14ac:dyDescent="0.3">
      <c r="A54">
        <v>60</v>
      </c>
      <c r="B54">
        <v>30</v>
      </c>
      <c r="C54">
        <v>508.48500000000001</v>
      </c>
      <c r="D54">
        <v>5.24</v>
      </c>
      <c r="E54">
        <v>2.2000000000000002</v>
      </c>
      <c r="F54">
        <v>288.60000000000002</v>
      </c>
      <c r="G54">
        <v>290.8</v>
      </c>
      <c r="H54">
        <v>2.3090000000000002</v>
      </c>
    </row>
    <row r="55" spans="1:8" x14ac:dyDescent="0.3">
      <c r="A55">
        <v>60</v>
      </c>
      <c r="B55">
        <v>40</v>
      </c>
      <c r="C55">
        <v>492.79500000000002</v>
      </c>
      <c r="D55">
        <v>5.0750000000000002</v>
      </c>
      <c r="E55">
        <v>2.1</v>
      </c>
      <c r="F55">
        <v>291.89999999999998</v>
      </c>
      <c r="G55">
        <v>294</v>
      </c>
      <c r="H55">
        <v>2.1110000000000002</v>
      </c>
    </row>
    <row r="56" spans="1:8" x14ac:dyDescent="0.3">
      <c r="A56">
        <v>60</v>
      </c>
      <c r="B56">
        <v>50</v>
      </c>
      <c r="C56">
        <v>495.28</v>
      </c>
      <c r="D56">
        <v>4.87</v>
      </c>
      <c r="E56">
        <v>1.9</v>
      </c>
      <c r="F56">
        <v>295</v>
      </c>
      <c r="G56">
        <v>296.89999999999998</v>
      </c>
      <c r="H56">
        <v>1.992</v>
      </c>
    </row>
    <row r="57" spans="1:8" x14ac:dyDescent="0.3">
      <c r="A57">
        <v>60</v>
      </c>
      <c r="B57">
        <v>60</v>
      </c>
      <c r="C57">
        <v>473.61500000000001</v>
      </c>
      <c r="D57">
        <v>5.12</v>
      </c>
      <c r="E57">
        <v>2</v>
      </c>
      <c r="F57">
        <v>297.89999999999998</v>
      </c>
      <c r="G57">
        <v>299.89999999999998</v>
      </c>
      <c r="H57">
        <v>1.915</v>
      </c>
    </row>
    <row r="58" spans="1:8" x14ac:dyDescent="0.3">
      <c r="A58">
        <v>60</v>
      </c>
      <c r="B58">
        <v>70</v>
      </c>
      <c r="C58">
        <v>457.29500000000002</v>
      </c>
      <c r="D58">
        <v>5.4450000000000003</v>
      </c>
      <c r="E58">
        <v>1.8</v>
      </c>
      <c r="F58">
        <v>300.89999999999998</v>
      </c>
      <c r="G58">
        <v>302.7</v>
      </c>
      <c r="H58">
        <v>1.865</v>
      </c>
    </row>
    <row r="59" spans="1:8" x14ac:dyDescent="0.3">
      <c r="A59">
        <v>60</v>
      </c>
      <c r="B59">
        <v>80</v>
      </c>
      <c r="C59">
        <v>466.64</v>
      </c>
      <c r="D59">
        <v>4.6900000000000004</v>
      </c>
      <c r="E59">
        <v>1.8</v>
      </c>
      <c r="F59">
        <v>303.8</v>
      </c>
      <c r="G59">
        <v>305.60000000000002</v>
      </c>
      <c r="H59">
        <v>1.831</v>
      </c>
    </row>
    <row r="60" spans="1:8" x14ac:dyDescent="0.3">
      <c r="A60">
        <v>60</v>
      </c>
      <c r="B60">
        <v>90</v>
      </c>
      <c r="C60">
        <v>479.49</v>
      </c>
      <c r="D60">
        <v>4.75</v>
      </c>
      <c r="E60">
        <v>1.8</v>
      </c>
      <c r="F60">
        <v>306.60000000000002</v>
      </c>
      <c r="G60">
        <v>308.39999999999998</v>
      </c>
      <c r="H60">
        <v>1.806</v>
      </c>
    </row>
    <row r="61" spans="1:8" x14ac:dyDescent="0.3">
      <c r="A61">
        <v>60</v>
      </c>
      <c r="B61">
        <v>100</v>
      </c>
      <c r="C61">
        <v>486.14</v>
      </c>
      <c r="D61">
        <v>5.4749999999999996</v>
      </c>
      <c r="E61">
        <v>1.8</v>
      </c>
      <c r="F61">
        <v>309.39999999999998</v>
      </c>
      <c r="G61">
        <v>311.2</v>
      </c>
      <c r="H61">
        <v>1.7869999999999999</v>
      </c>
    </row>
    <row r="62" spans="1:8" x14ac:dyDescent="0.3">
      <c r="A62">
        <v>70</v>
      </c>
      <c r="B62">
        <v>10</v>
      </c>
      <c r="C62">
        <v>579.21500000000003</v>
      </c>
      <c r="D62">
        <v>4.91</v>
      </c>
      <c r="E62">
        <v>3.4</v>
      </c>
      <c r="F62">
        <v>312.3</v>
      </c>
      <c r="G62">
        <v>315.7</v>
      </c>
      <c r="H62">
        <v>3.661</v>
      </c>
    </row>
    <row r="63" spans="1:8" x14ac:dyDescent="0.3">
      <c r="A63">
        <v>70</v>
      </c>
      <c r="B63">
        <v>20</v>
      </c>
      <c r="C63">
        <v>526.24</v>
      </c>
      <c r="D63">
        <v>5</v>
      </c>
      <c r="E63">
        <v>2.5</v>
      </c>
      <c r="F63">
        <v>317</v>
      </c>
      <c r="G63">
        <v>319.5</v>
      </c>
      <c r="H63">
        <v>2.61</v>
      </c>
    </row>
    <row r="64" spans="1:8" x14ac:dyDescent="0.3">
      <c r="A64">
        <v>70</v>
      </c>
      <c r="B64">
        <v>30</v>
      </c>
      <c r="C64">
        <v>484.58499999999998</v>
      </c>
      <c r="D64">
        <v>5.0599999999999996</v>
      </c>
      <c r="E64">
        <v>2</v>
      </c>
      <c r="F64">
        <v>320.60000000000002</v>
      </c>
      <c r="G64">
        <v>322.60000000000002</v>
      </c>
      <c r="H64">
        <v>2.173</v>
      </c>
    </row>
    <row r="65" spans="1:8" x14ac:dyDescent="0.3">
      <c r="A65">
        <v>70</v>
      </c>
      <c r="B65">
        <v>40</v>
      </c>
      <c r="C65">
        <v>457.75</v>
      </c>
      <c r="D65">
        <v>5.47</v>
      </c>
      <c r="E65">
        <v>1.9</v>
      </c>
      <c r="F65">
        <v>323.7</v>
      </c>
      <c r="G65">
        <v>325.60000000000002</v>
      </c>
      <c r="H65">
        <v>1.9490000000000001</v>
      </c>
    </row>
    <row r="66" spans="1:8" x14ac:dyDescent="0.3">
      <c r="A66">
        <v>70</v>
      </c>
      <c r="B66">
        <v>50</v>
      </c>
      <c r="C66">
        <v>473.91500000000002</v>
      </c>
      <c r="D66">
        <v>4.83</v>
      </c>
      <c r="E66">
        <v>1.8</v>
      </c>
      <c r="F66">
        <v>326.7</v>
      </c>
      <c r="G66">
        <v>328.5</v>
      </c>
      <c r="H66">
        <v>1.825</v>
      </c>
    </row>
    <row r="67" spans="1:8" x14ac:dyDescent="0.3">
      <c r="A67">
        <v>70</v>
      </c>
      <c r="B67">
        <v>60</v>
      </c>
      <c r="C67">
        <v>465.65</v>
      </c>
      <c r="D67">
        <v>5.375</v>
      </c>
      <c r="E67">
        <v>1.7</v>
      </c>
      <c r="F67">
        <v>329.5</v>
      </c>
      <c r="G67">
        <v>331.2</v>
      </c>
      <c r="H67">
        <v>1.7430000000000001</v>
      </c>
    </row>
    <row r="68" spans="1:8" x14ac:dyDescent="0.3">
      <c r="A68">
        <v>70</v>
      </c>
      <c r="B68">
        <v>70</v>
      </c>
      <c r="C68">
        <v>401.63</v>
      </c>
      <c r="D68">
        <v>5.43</v>
      </c>
      <c r="E68">
        <v>1.5</v>
      </c>
      <c r="F68">
        <v>332.3</v>
      </c>
      <c r="G68">
        <v>333.8</v>
      </c>
      <c r="H68">
        <v>1.6890000000000001</v>
      </c>
    </row>
    <row r="69" spans="1:8" x14ac:dyDescent="0.3">
      <c r="A69">
        <v>70</v>
      </c>
      <c r="B69">
        <v>80</v>
      </c>
      <c r="C69">
        <v>461.51499999999999</v>
      </c>
      <c r="D69">
        <v>5.2549999999999999</v>
      </c>
      <c r="E69">
        <v>1.6</v>
      </c>
      <c r="F69">
        <v>334.9</v>
      </c>
      <c r="G69">
        <v>336.5</v>
      </c>
      <c r="H69">
        <v>1.6539999999999999</v>
      </c>
    </row>
    <row r="70" spans="1:8" x14ac:dyDescent="0.3">
      <c r="A70">
        <v>70</v>
      </c>
      <c r="B70">
        <v>90</v>
      </c>
      <c r="C70">
        <v>428.53</v>
      </c>
      <c r="D70">
        <v>5.01</v>
      </c>
      <c r="E70">
        <v>1.6</v>
      </c>
      <c r="F70">
        <v>337.6</v>
      </c>
      <c r="G70">
        <v>339.2</v>
      </c>
      <c r="H70">
        <v>1.623</v>
      </c>
    </row>
    <row r="71" spans="1:8" x14ac:dyDescent="0.3">
      <c r="A71">
        <v>70</v>
      </c>
      <c r="B71">
        <v>100</v>
      </c>
      <c r="C71">
        <v>469.86</v>
      </c>
      <c r="D71">
        <v>6.8049999999999997</v>
      </c>
      <c r="E71">
        <v>1.6</v>
      </c>
      <c r="F71">
        <v>340.2</v>
      </c>
      <c r="G71">
        <v>341.8</v>
      </c>
      <c r="H71">
        <v>1.599</v>
      </c>
    </row>
    <row r="72" spans="1:8" x14ac:dyDescent="0.3">
      <c r="A72">
        <v>80</v>
      </c>
      <c r="B72">
        <v>10</v>
      </c>
      <c r="C72">
        <v>558</v>
      </c>
      <c r="D72">
        <v>4.9550000000000001</v>
      </c>
      <c r="E72">
        <v>3.3</v>
      </c>
      <c r="F72">
        <v>343</v>
      </c>
      <c r="G72">
        <v>346.3</v>
      </c>
      <c r="H72">
        <v>3.5449999999999999</v>
      </c>
    </row>
    <row r="73" spans="1:8" x14ac:dyDescent="0.3">
      <c r="A73">
        <v>80</v>
      </c>
      <c r="B73">
        <v>20</v>
      </c>
      <c r="C73">
        <v>488.91500000000002</v>
      </c>
      <c r="D73">
        <v>5.4450000000000003</v>
      </c>
      <c r="E73">
        <v>2.2999999999999998</v>
      </c>
      <c r="F73">
        <v>347.5</v>
      </c>
      <c r="G73">
        <v>349.8</v>
      </c>
      <c r="H73">
        <v>2.5249999999999999</v>
      </c>
    </row>
    <row r="74" spans="1:8" x14ac:dyDescent="0.3">
      <c r="A74">
        <v>80</v>
      </c>
      <c r="B74">
        <v>30</v>
      </c>
      <c r="C74">
        <v>491.28</v>
      </c>
      <c r="D74">
        <v>5.62</v>
      </c>
      <c r="E74">
        <v>2</v>
      </c>
      <c r="F74">
        <v>351</v>
      </c>
      <c r="G74">
        <v>353</v>
      </c>
      <c r="H74">
        <v>2.077</v>
      </c>
    </row>
    <row r="75" spans="1:8" x14ac:dyDescent="0.3">
      <c r="A75">
        <v>80</v>
      </c>
      <c r="B75">
        <v>40</v>
      </c>
      <c r="C75">
        <v>465.5</v>
      </c>
      <c r="D75">
        <v>5.2249999999999996</v>
      </c>
      <c r="E75">
        <v>1.7</v>
      </c>
      <c r="F75">
        <v>354.1</v>
      </c>
      <c r="G75">
        <v>355.8</v>
      </c>
      <c r="H75">
        <v>1.841</v>
      </c>
    </row>
    <row r="76" spans="1:8" x14ac:dyDescent="0.3">
      <c r="A76">
        <v>80</v>
      </c>
      <c r="B76">
        <v>50</v>
      </c>
      <c r="C76">
        <v>461.26499999999999</v>
      </c>
      <c r="D76">
        <v>5.2</v>
      </c>
      <c r="E76">
        <v>1.6</v>
      </c>
      <c r="F76">
        <v>356.9</v>
      </c>
      <c r="G76">
        <v>358.5</v>
      </c>
      <c r="H76">
        <v>1.7090000000000001</v>
      </c>
    </row>
    <row r="77" spans="1:8" x14ac:dyDescent="0.3">
      <c r="A77">
        <v>80</v>
      </c>
      <c r="B77">
        <v>60</v>
      </c>
      <c r="C77">
        <v>419.17</v>
      </c>
      <c r="D77">
        <v>5.2949999999999999</v>
      </c>
      <c r="E77">
        <v>1.5</v>
      </c>
      <c r="F77">
        <v>359.6</v>
      </c>
      <c r="G77">
        <v>361.1</v>
      </c>
      <c r="H77">
        <v>1.619</v>
      </c>
    </row>
    <row r="78" spans="1:8" x14ac:dyDescent="0.3">
      <c r="A78">
        <v>80</v>
      </c>
      <c r="B78">
        <v>70</v>
      </c>
      <c r="C78">
        <v>461.55500000000001</v>
      </c>
      <c r="D78">
        <v>5.7450000000000001</v>
      </c>
      <c r="E78">
        <v>1.5</v>
      </c>
      <c r="F78">
        <v>362.2</v>
      </c>
      <c r="G78">
        <v>363.7</v>
      </c>
      <c r="H78">
        <v>1.5640000000000001</v>
      </c>
    </row>
    <row r="79" spans="1:8" x14ac:dyDescent="0.3">
      <c r="A79">
        <v>80</v>
      </c>
      <c r="B79">
        <v>80</v>
      </c>
      <c r="C79">
        <v>435.565</v>
      </c>
      <c r="D79">
        <v>5.56</v>
      </c>
      <c r="E79">
        <v>1.5</v>
      </c>
      <c r="F79">
        <v>364.8</v>
      </c>
      <c r="G79">
        <v>366.3</v>
      </c>
      <c r="H79">
        <v>1.524</v>
      </c>
    </row>
    <row r="80" spans="1:8" x14ac:dyDescent="0.3">
      <c r="A80">
        <v>80</v>
      </c>
      <c r="B80">
        <v>90</v>
      </c>
      <c r="C80">
        <v>402.33</v>
      </c>
      <c r="D80">
        <v>7.585</v>
      </c>
      <c r="E80">
        <v>1.3</v>
      </c>
      <c r="F80">
        <v>367.4</v>
      </c>
      <c r="G80">
        <v>368.7</v>
      </c>
      <c r="H80">
        <v>1.4930000000000001</v>
      </c>
    </row>
    <row r="81" spans="1:8" x14ac:dyDescent="0.3">
      <c r="A81">
        <v>80</v>
      </c>
      <c r="B81">
        <v>100</v>
      </c>
      <c r="C81">
        <v>449.87</v>
      </c>
      <c r="D81">
        <v>9.9</v>
      </c>
      <c r="E81">
        <v>1.4</v>
      </c>
      <c r="F81">
        <v>369.8</v>
      </c>
      <c r="G81">
        <v>371.2</v>
      </c>
      <c r="H81">
        <v>1.468</v>
      </c>
    </row>
    <row r="82" spans="1:8" x14ac:dyDescent="0.3">
      <c r="A82">
        <v>90</v>
      </c>
      <c r="B82">
        <v>10</v>
      </c>
      <c r="C82">
        <v>534.62</v>
      </c>
      <c r="D82">
        <v>5.0049999999999999</v>
      </c>
      <c r="E82">
        <v>3.1</v>
      </c>
      <c r="F82">
        <v>372.5</v>
      </c>
      <c r="G82">
        <v>375.6</v>
      </c>
      <c r="H82">
        <v>3.4409999999999998</v>
      </c>
    </row>
    <row r="83" spans="1:8" x14ac:dyDescent="0.3">
      <c r="A83">
        <v>90</v>
      </c>
      <c r="B83">
        <v>20</v>
      </c>
      <c r="C83">
        <v>490.66500000000002</v>
      </c>
      <c r="D83">
        <v>4.82</v>
      </c>
      <c r="E83">
        <v>2.2999999999999998</v>
      </c>
      <c r="F83">
        <v>376.8</v>
      </c>
      <c r="G83">
        <v>379.1</v>
      </c>
      <c r="H83">
        <v>2.4529999999999998</v>
      </c>
    </row>
    <row r="84" spans="1:8" x14ac:dyDescent="0.3">
      <c r="A84">
        <v>90</v>
      </c>
      <c r="B84">
        <v>30</v>
      </c>
      <c r="C84">
        <v>478.27</v>
      </c>
      <c r="D84">
        <v>5.5</v>
      </c>
      <c r="E84">
        <v>2</v>
      </c>
      <c r="F84">
        <v>380.2</v>
      </c>
      <c r="G84">
        <v>382.2</v>
      </c>
      <c r="H84">
        <v>2.0129999999999999</v>
      </c>
    </row>
    <row r="85" spans="1:8" x14ac:dyDescent="0.3">
      <c r="A85">
        <v>90</v>
      </c>
      <c r="B85">
        <v>40</v>
      </c>
      <c r="C85">
        <v>463.51499999999999</v>
      </c>
      <c r="D85">
        <v>5.37</v>
      </c>
      <c r="E85">
        <v>1.7</v>
      </c>
      <c r="F85">
        <v>383.3</v>
      </c>
      <c r="G85">
        <v>385</v>
      </c>
      <c r="H85">
        <v>1.7689999999999999</v>
      </c>
    </row>
    <row r="86" spans="1:8" x14ac:dyDescent="0.3">
      <c r="A86">
        <v>90</v>
      </c>
      <c r="B86">
        <v>50</v>
      </c>
      <c r="C86">
        <v>435.18</v>
      </c>
      <c r="D86">
        <v>5.45</v>
      </c>
      <c r="E86">
        <v>1.5</v>
      </c>
      <c r="F86">
        <v>386.1</v>
      </c>
      <c r="G86">
        <v>387.6</v>
      </c>
      <c r="H86">
        <v>1.625</v>
      </c>
    </row>
    <row r="87" spans="1:8" x14ac:dyDescent="0.3">
      <c r="A87">
        <v>90</v>
      </c>
      <c r="B87">
        <v>60</v>
      </c>
      <c r="C87">
        <v>444.23500000000001</v>
      </c>
      <c r="D87">
        <v>5.4450000000000003</v>
      </c>
      <c r="E87">
        <v>1.4</v>
      </c>
      <c r="F87">
        <v>388.7</v>
      </c>
      <c r="G87">
        <v>390.1</v>
      </c>
      <c r="H87">
        <v>1.5329999999999999</v>
      </c>
    </row>
    <row r="88" spans="1:8" x14ac:dyDescent="0.3">
      <c r="A88">
        <v>90</v>
      </c>
      <c r="B88">
        <v>70</v>
      </c>
      <c r="C88">
        <v>441.065</v>
      </c>
      <c r="D88">
        <v>6.01</v>
      </c>
      <c r="E88">
        <v>1.4</v>
      </c>
      <c r="F88">
        <v>391.2</v>
      </c>
      <c r="G88">
        <v>392.6</v>
      </c>
      <c r="H88">
        <v>1.4710000000000001</v>
      </c>
    </row>
    <row r="89" spans="1:8" x14ac:dyDescent="0.3">
      <c r="A89">
        <v>90</v>
      </c>
      <c r="B89">
        <v>80</v>
      </c>
      <c r="C89">
        <v>422.69499999999999</v>
      </c>
      <c r="D89">
        <v>6.7350000000000003</v>
      </c>
      <c r="E89">
        <v>1.3</v>
      </c>
      <c r="F89">
        <v>393.7</v>
      </c>
      <c r="G89">
        <v>395</v>
      </c>
      <c r="H89">
        <v>1.427</v>
      </c>
    </row>
    <row r="90" spans="1:8" x14ac:dyDescent="0.3">
      <c r="A90">
        <v>90</v>
      </c>
      <c r="B90">
        <v>90</v>
      </c>
      <c r="C90">
        <v>426.1</v>
      </c>
      <c r="D90">
        <v>8.4</v>
      </c>
      <c r="E90">
        <v>1.3</v>
      </c>
      <c r="F90">
        <v>396.1</v>
      </c>
      <c r="G90">
        <v>397.4</v>
      </c>
      <c r="H90">
        <v>1.3919999999999999</v>
      </c>
    </row>
    <row r="91" spans="1:8" x14ac:dyDescent="0.3">
      <c r="A91">
        <v>90</v>
      </c>
      <c r="B91">
        <v>100</v>
      </c>
      <c r="C91">
        <v>429.55500000000001</v>
      </c>
      <c r="D91">
        <v>10.74</v>
      </c>
      <c r="E91">
        <v>1.3</v>
      </c>
      <c r="F91">
        <v>398.5</v>
      </c>
      <c r="G91">
        <v>399.8</v>
      </c>
      <c r="H91">
        <v>1.365</v>
      </c>
    </row>
    <row r="92" spans="1:8" x14ac:dyDescent="0.3">
      <c r="A92">
        <v>100</v>
      </c>
      <c r="B92">
        <v>10</v>
      </c>
      <c r="C92">
        <v>527.41499999999996</v>
      </c>
      <c r="D92">
        <v>5.29</v>
      </c>
      <c r="E92">
        <v>3.1</v>
      </c>
      <c r="F92">
        <v>401.1</v>
      </c>
      <c r="G92">
        <v>404.2</v>
      </c>
      <c r="H92">
        <v>3.411</v>
      </c>
    </row>
    <row r="93" spans="1:8" x14ac:dyDescent="0.3">
      <c r="A93">
        <v>100</v>
      </c>
      <c r="B93">
        <v>20</v>
      </c>
      <c r="C93">
        <v>482.685</v>
      </c>
      <c r="D93">
        <v>5.33</v>
      </c>
      <c r="E93">
        <v>2.2999999999999998</v>
      </c>
      <c r="F93">
        <v>405.4</v>
      </c>
      <c r="G93">
        <v>407.7</v>
      </c>
      <c r="H93">
        <v>2.3919999999999999</v>
      </c>
    </row>
    <row r="94" spans="1:8" x14ac:dyDescent="0.3">
      <c r="A94">
        <v>100</v>
      </c>
      <c r="B94">
        <v>30</v>
      </c>
      <c r="C94">
        <v>440.13</v>
      </c>
      <c r="D94">
        <v>4.93</v>
      </c>
      <c r="E94">
        <v>1.8</v>
      </c>
      <c r="F94">
        <v>408.8</v>
      </c>
      <c r="G94">
        <v>410.6</v>
      </c>
      <c r="H94">
        <v>1.9650000000000001</v>
      </c>
    </row>
    <row r="95" spans="1:8" x14ac:dyDescent="0.3">
      <c r="A95">
        <v>100</v>
      </c>
      <c r="B95">
        <v>40</v>
      </c>
      <c r="C95">
        <v>431.66500000000002</v>
      </c>
      <c r="D95">
        <v>5.0999999999999996</v>
      </c>
      <c r="E95">
        <v>1.6</v>
      </c>
      <c r="F95">
        <v>411.7</v>
      </c>
      <c r="G95">
        <v>413.3</v>
      </c>
      <c r="H95">
        <v>1.712</v>
      </c>
    </row>
    <row r="96" spans="1:8" x14ac:dyDescent="0.3">
      <c r="A96">
        <v>100</v>
      </c>
      <c r="B96">
        <v>50</v>
      </c>
      <c r="C96">
        <v>443.76499999999999</v>
      </c>
      <c r="D96">
        <v>5.3949999999999996</v>
      </c>
      <c r="E96">
        <v>1.5</v>
      </c>
      <c r="F96">
        <v>414.4</v>
      </c>
      <c r="G96">
        <v>415.9</v>
      </c>
      <c r="H96">
        <v>1.5669999999999999</v>
      </c>
    </row>
    <row r="97" spans="1:8" x14ac:dyDescent="0.3">
      <c r="A97">
        <v>100</v>
      </c>
      <c r="B97">
        <v>60</v>
      </c>
      <c r="C97">
        <v>423.76</v>
      </c>
      <c r="D97">
        <v>6.64</v>
      </c>
      <c r="E97">
        <v>1.3</v>
      </c>
      <c r="F97">
        <v>417</v>
      </c>
      <c r="G97">
        <v>418.3</v>
      </c>
      <c r="H97">
        <v>1.466</v>
      </c>
    </row>
    <row r="98" spans="1:8" x14ac:dyDescent="0.3">
      <c r="A98">
        <v>100</v>
      </c>
      <c r="B98">
        <v>70</v>
      </c>
      <c r="C98">
        <v>409.94</v>
      </c>
      <c r="D98">
        <v>9.06</v>
      </c>
      <c r="E98">
        <v>1.2</v>
      </c>
      <c r="F98">
        <v>419.5</v>
      </c>
      <c r="G98">
        <v>420.7</v>
      </c>
      <c r="H98">
        <v>1.399</v>
      </c>
    </row>
    <row r="99" spans="1:8" x14ac:dyDescent="0.3">
      <c r="A99">
        <v>100</v>
      </c>
      <c r="B99">
        <v>80</v>
      </c>
      <c r="C99">
        <v>411.37</v>
      </c>
      <c r="D99">
        <v>9.5649999999999995</v>
      </c>
      <c r="E99">
        <v>1.2</v>
      </c>
      <c r="F99">
        <v>421.9</v>
      </c>
      <c r="G99">
        <v>423.1</v>
      </c>
      <c r="H99">
        <v>1.353</v>
      </c>
    </row>
    <row r="100" spans="1:8" x14ac:dyDescent="0.3">
      <c r="A100">
        <v>100</v>
      </c>
      <c r="B100">
        <v>90</v>
      </c>
      <c r="C100">
        <v>423.90499999999997</v>
      </c>
      <c r="D100">
        <v>12.6</v>
      </c>
      <c r="E100">
        <v>1.1000000000000001</v>
      </c>
      <c r="F100">
        <v>424.3</v>
      </c>
      <c r="G100">
        <v>425.4</v>
      </c>
      <c r="H100">
        <v>1.3140000000000001</v>
      </c>
    </row>
    <row r="101" spans="1:8" x14ac:dyDescent="0.3">
      <c r="A101">
        <v>100</v>
      </c>
      <c r="B101">
        <v>100</v>
      </c>
      <c r="C101">
        <v>434.1</v>
      </c>
      <c r="D101">
        <v>52.59</v>
      </c>
      <c r="E101">
        <v>1.2</v>
      </c>
      <c r="F101">
        <v>426.6</v>
      </c>
      <c r="G101">
        <v>427.8</v>
      </c>
      <c r="H101">
        <v>1.288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FA140-E5EA-4282-AA3F-C2EDF3624793}">
  <dimension ref="A1:H101"/>
  <sheetViews>
    <sheetView workbookViewId="0">
      <selection activeCell="C26" sqref="C26"/>
    </sheetView>
  </sheetViews>
  <sheetFormatPr defaultRowHeight="14.4" x14ac:dyDescent="0.3"/>
  <sheetData>
    <row r="1" spans="1:8" x14ac:dyDescent="0.3">
      <c r="A1" t="s">
        <v>16</v>
      </c>
      <c r="B1" t="s">
        <v>17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14</v>
      </c>
    </row>
    <row r="2" spans="1:8" x14ac:dyDescent="0.3">
      <c r="A2">
        <v>10</v>
      </c>
      <c r="B2">
        <v>10</v>
      </c>
      <c r="C2">
        <v>1094.71</v>
      </c>
      <c r="D2">
        <v>4.3899999999999997</v>
      </c>
      <c r="E2">
        <v>9.1999999999999993</v>
      </c>
      <c r="F2">
        <v>4.7</v>
      </c>
      <c r="G2">
        <v>13.9</v>
      </c>
      <c r="H2">
        <v>9.6359999999999992</v>
      </c>
    </row>
    <row r="3" spans="1:8" x14ac:dyDescent="0.3">
      <c r="A3">
        <v>10</v>
      </c>
      <c r="B3">
        <v>20</v>
      </c>
      <c r="C3">
        <v>1078.0150000000001</v>
      </c>
      <c r="D3">
        <v>4.7750000000000004</v>
      </c>
      <c r="E3">
        <v>9</v>
      </c>
      <c r="F3">
        <v>15.2</v>
      </c>
      <c r="G3">
        <v>24.2</v>
      </c>
      <c r="H3">
        <v>9.1379999999999999</v>
      </c>
    </row>
    <row r="4" spans="1:8" x14ac:dyDescent="0.3">
      <c r="A4">
        <v>10</v>
      </c>
      <c r="B4">
        <v>30</v>
      </c>
      <c r="C4">
        <v>1065.905</v>
      </c>
      <c r="D4">
        <v>5.2350000000000003</v>
      </c>
      <c r="E4">
        <v>8.9</v>
      </c>
      <c r="F4">
        <v>25.3</v>
      </c>
      <c r="G4">
        <v>34.200000000000003</v>
      </c>
      <c r="H4">
        <v>8.9689999999999994</v>
      </c>
    </row>
    <row r="5" spans="1:8" x14ac:dyDescent="0.3">
      <c r="A5">
        <v>10</v>
      </c>
      <c r="B5">
        <v>40</v>
      </c>
      <c r="C5">
        <v>1055.7650000000001</v>
      </c>
      <c r="D5">
        <v>3.625</v>
      </c>
      <c r="E5">
        <v>8.8000000000000007</v>
      </c>
      <c r="F5">
        <v>35.299999999999997</v>
      </c>
      <c r="G5">
        <v>44.1</v>
      </c>
      <c r="H5">
        <v>8.8859999999999992</v>
      </c>
    </row>
    <row r="6" spans="1:8" x14ac:dyDescent="0.3">
      <c r="A6">
        <v>10</v>
      </c>
      <c r="B6">
        <v>50</v>
      </c>
      <c r="C6">
        <v>1054.9349999999999</v>
      </c>
      <c r="D6">
        <v>5.0549999999999997</v>
      </c>
      <c r="E6">
        <v>8.8000000000000007</v>
      </c>
      <c r="F6">
        <v>45.1</v>
      </c>
      <c r="G6">
        <v>53.9</v>
      </c>
      <c r="H6">
        <v>8.8379999999999992</v>
      </c>
    </row>
    <row r="7" spans="1:8" x14ac:dyDescent="0.3">
      <c r="A7">
        <v>10</v>
      </c>
      <c r="B7">
        <v>60</v>
      </c>
      <c r="C7">
        <v>1057.45</v>
      </c>
      <c r="D7">
        <v>4.71</v>
      </c>
      <c r="E7">
        <v>8.8000000000000007</v>
      </c>
      <c r="F7">
        <v>55</v>
      </c>
      <c r="G7">
        <v>63.8</v>
      </c>
      <c r="H7">
        <v>8.8059999999999992</v>
      </c>
    </row>
    <row r="8" spans="1:8" x14ac:dyDescent="0.3">
      <c r="A8">
        <v>10</v>
      </c>
      <c r="B8">
        <v>70</v>
      </c>
      <c r="C8">
        <v>1044.2149999999999</v>
      </c>
      <c r="D8">
        <v>5.22</v>
      </c>
      <c r="E8">
        <v>8.6999999999999993</v>
      </c>
      <c r="F8">
        <v>64.8</v>
      </c>
      <c r="G8">
        <v>73.5</v>
      </c>
      <c r="H8">
        <v>8.7799999999999994</v>
      </c>
    </row>
    <row r="9" spans="1:8" x14ac:dyDescent="0.3">
      <c r="A9">
        <v>10</v>
      </c>
      <c r="B9">
        <v>80</v>
      </c>
      <c r="C9">
        <v>1054.8499999999999</v>
      </c>
      <c r="D9">
        <v>5.14</v>
      </c>
      <c r="E9">
        <v>8.8000000000000007</v>
      </c>
      <c r="F9">
        <v>74.599999999999994</v>
      </c>
      <c r="G9">
        <v>83.4</v>
      </c>
      <c r="H9">
        <v>8.7639999999999993</v>
      </c>
    </row>
    <row r="10" spans="1:8" x14ac:dyDescent="0.3">
      <c r="A10">
        <v>10</v>
      </c>
      <c r="B10">
        <v>90</v>
      </c>
      <c r="C10">
        <v>1048.2049999999999</v>
      </c>
      <c r="D10">
        <v>5.32</v>
      </c>
      <c r="E10">
        <v>8.6999999999999993</v>
      </c>
      <c r="F10">
        <v>84.4</v>
      </c>
      <c r="G10">
        <v>93.1</v>
      </c>
      <c r="H10">
        <v>8.7560000000000002</v>
      </c>
    </row>
    <row r="11" spans="1:8" x14ac:dyDescent="0.3">
      <c r="A11">
        <v>10</v>
      </c>
      <c r="B11">
        <v>100</v>
      </c>
      <c r="C11">
        <v>1044.29</v>
      </c>
      <c r="D11">
        <v>5.9749999999999996</v>
      </c>
      <c r="E11">
        <v>8.6999999999999993</v>
      </c>
      <c r="F11">
        <v>94.2</v>
      </c>
      <c r="G11">
        <v>102.9</v>
      </c>
      <c r="H11">
        <v>8.7460000000000004</v>
      </c>
    </row>
    <row r="12" spans="1:8" x14ac:dyDescent="0.3">
      <c r="A12">
        <v>20</v>
      </c>
      <c r="B12">
        <v>10</v>
      </c>
      <c r="C12">
        <v>748.17499999999995</v>
      </c>
      <c r="D12">
        <v>4.9649999999999999</v>
      </c>
      <c r="E12">
        <v>5.4</v>
      </c>
      <c r="F12">
        <v>104.1</v>
      </c>
      <c r="G12">
        <v>109.5</v>
      </c>
      <c r="H12">
        <v>5.7629999999999999</v>
      </c>
    </row>
    <row r="13" spans="1:8" x14ac:dyDescent="0.3">
      <c r="A13">
        <v>20</v>
      </c>
      <c r="B13">
        <v>20</v>
      </c>
      <c r="C13">
        <v>711.37</v>
      </c>
      <c r="D13">
        <v>5.335</v>
      </c>
      <c r="E13">
        <v>5</v>
      </c>
      <c r="F13">
        <v>110.7</v>
      </c>
      <c r="G13">
        <v>115.7</v>
      </c>
      <c r="H13">
        <v>5.0579999999999998</v>
      </c>
    </row>
    <row r="14" spans="1:8" x14ac:dyDescent="0.3">
      <c r="A14">
        <v>20</v>
      </c>
      <c r="B14">
        <v>30</v>
      </c>
      <c r="C14">
        <v>677.495</v>
      </c>
      <c r="D14">
        <v>5.0999999999999996</v>
      </c>
      <c r="E14">
        <v>4.7</v>
      </c>
      <c r="F14">
        <v>116.8</v>
      </c>
      <c r="G14">
        <v>121.5</v>
      </c>
      <c r="H14">
        <v>4.8220000000000001</v>
      </c>
    </row>
    <row r="15" spans="1:8" x14ac:dyDescent="0.3">
      <c r="A15">
        <v>20</v>
      </c>
      <c r="B15">
        <v>40</v>
      </c>
      <c r="C15">
        <v>682.85500000000002</v>
      </c>
      <c r="D15">
        <v>4.2750000000000004</v>
      </c>
      <c r="E15">
        <v>4.7</v>
      </c>
      <c r="F15">
        <v>122.6</v>
      </c>
      <c r="G15">
        <v>127.3</v>
      </c>
      <c r="H15">
        <v>4.7039999999999997</v>
      </c>
    </row>
    <row r="16" spans="1:8" x14ac:dyDescent="0.3">
      <c r="A16">
        <v>20</v>
      </c>
      <c r="B16">
        <v>50</v>
      </c>
      <c r="C16">
        <v>674.18499999999995</v>
      </c>
      <c r="D16">
        <v>4.4850000000000003</v>
      </c>
      <c r="E16">
        <v>4.5999999999999996</v>
      </c>
      <c r="F16">
        <v>128.30000000000001</v>
      </c>
      <c r="G16">
        <v>132.9</v>
      </c>
      <c r="H16">
        <v>4.6319999999999997</v>
      </c>
    </row>
    <row r="17" spans="1:8" x14ac:dyDescent="0.3">
      <c r="A17">
        <v>20</v>
      </c>
      <c r="B17">
        <v>60</v>
      </c>
      <c r="C17">
        <v>671.78</v>
      </c>
      <c r="D17">
        <v>4.3949999999999996</v>
      </c>
      <c r="E17">
        <v>4.5999999999999996</v>
      </c>
      <c r="F17">
        <v>133.9</v>
      </c>
      <c r="G17">
        <v>138.5</v>
      </c>
      <c r="H17">
        <v>4.5940000000000003</v>
      </c>
    </row>
    <row r="18" spans="1:8" x14ac:dyDescent="0.3">
      <c r="A18">
        <v>20</v>
      </c>
      <c r="B18">
        <v>70</v>
      </c>
      <c r="C18">
        <v>673.27499999999998</v>
      </c>
      <c r="D18">
        <v>4.7549999999999999</v>
      </c>
      <c r="E18">
        <v>4.5999999999999996</v>
      </c>
      <c r="F18">
        <v>139.5</v>
      </c>
      <c r="G18">
        <v>144.1</v>
      </c>
      <c r="H18">
        <v>4.5640000000000001</v>
      </c>
    </row>
    <row r="19" spans="1:8" x14ac:dyDescent="0.3">
      <c r="A19">
        <v>20</v>
      </c>
      <c r="B19">
        <v>80</v>
      </c>
      <c r="C19">
        <v>674.68</v>
      </c>
      <c r="D19">
        <v>4.2750000000000004</v>
      </c>
      <c r="E19">
        <v>4.5999999999999996</v>
      </c>
      <c r="F19">
        <v>145.1</v>
      </c>
      <c r="G19">
        <v>149.69999999999999</v>
      </c>
      <c r="H19">
        <v>4.54</v>
      </c>
    </row>
    <row r="20" spans="1:8" x14ac:dyDescent="0.3">
      <c r="A20">
        <v>20</v>
      </c>
      <c r="B20">
        <v>90</v>
      </c>
      <c r="C20">
        <v>675.51</v>
      </c>
      <c r="D20">
        <v>4.5250000000000004</v>
      </c>
      <c r="E20">
        <v>4.5999999999999996</v>
      </c>
      <c r="F20">
        <v>150.6</v>
      </c>
      <c r="G20">
        <v>155.19999999999999</v>
      </c>
      <c r="H20">
        <v>4.5279999999999996</v>
      </c>
    </row>
    <row r="21" spans="1:8" x14ac:dyDescent="0.3">
      <c r="A21">
        <v>20</v>
      </c>
      <c r="B21">
        <v>100</v>
      </c>
      <c r="C21">
        <v>660.77499999999998</v>
      </c>
      <c r="D21">
        <v>5.73</v>
      </c>
      <c r="E21">
        <v>4.5</v>
      </c>
      <c r="F21">
        <v>156.19999999999999</v>
      </c>
      <c r="G21">
        <v>160.69999999999999</v>
      </c>
      <c r="H21">
        <v>4.5170000000000003</v>
      </c>
    </row>
    <row r="22" spans="1:8" x14ac:dyDescent="0.3">
      <c r="A22">
        <v>30</v>
      </c>
      <c r="B22">
        <v>10</v>
      </c>
      <c r="C22">
        <v>656.1</v>
      </c>
      <c r="D22">
        <v>5.37</v>
      </c>
      <c r="E22">
        <v>4.3</v>
      </c>
      <c r="F22">
        <v>161.9</v>
      </c>
      <c r="G22">
        <v>166.2</v>
      </c>
      <c r="H22">
        <v>4.6500000000000004</v>
      </c>
    </row>
    <row r="23" spans="1:8" x14ac:dyDescent="0.3">
      <c r="A23">
        <v>30</v>
      </c>
      <c r="B23">
        <v>20</v>
      </c>
      <c r="C23">
        <v>592.29999999999995</v>
      </c>
      <c r="D23">
        <v>4.9450000000000003</v>
      </c>
      <c r="E23">
        <v>3.6</v>
      </c>
      <c r="F23">
        <v>167.5</v>
      </c>
      <c r="G23">
        <v>171.1</v>
      </c>
      <c r="H23">
        <v>3.7930000000000001</v>
      </c>
    </row>
    <row r="24" spans="1:8" x14ac:dyDescent="0.3">
      <c r="A24">
        <v>30</v>
      </c>
      <c r="B24">
        <v>30</v>
      </c>
      <c r="C24">
        <v>581.84500000000003</v>
      </c>
      <c r="D24">
        <v>4.95</v>
      </c>
      <c r="E24">
        <v>3.5</v>
      </c>
      <c r="F24">
        <v>172.2</v>
      </c>
      <c r="G24">
        <v>175.7</v>
      </c>
      <c r="H24">
        <v>3.4990000000000001</v>
      </c>
    </row>
    <row r="25" spans="1:8" x14ac:dyDescent="0.3">
      <c r="A25">
        <v>30</v>
      </c>
      <c r="B25">
        <v>40</v>
      </c>
      <c r="C25">
        <v>565.29</v>
      </c>
      <c r="D25">
        <v>5.38</v>
      </c>
      <c r="E25">
        <v>3.3</v>
      </c>
      <c r="F25">
        <v>176.7</v>
      </c>
      <c r="G25">
        <v>180</v>
      </c>
      <c r="H25">
        <v>3.355</v>
      </c>
    </row>
    <row r="26" spans="1:8" x14ac:dyDescent="0.3">
      <c r="A26">
        <v>30</v>
      </c>
      <c r="B26">
        <v>50</v>
      </c>
      <c r="C26">
        <v>543.79499999999996</v>
      </c>
      <c r="D26">
        <v>4.74</v>
      </c>
      <c r="E26">
        <v>3.2</v>
      </c>
      <c r="F26">
        <v>181.1</v>
      </c>
      <c r="G26">
        <v>184.3</v>
      </c>
      <c r="H26">
        <v>3.2709999999999999</v>
      </c>
    </row>
    <row r="27" spans="1:8" x14ac:dyDescent="0.3">
      <c r="A27">
        <v>30</v>
      </c>
      <c r="B27">
        <v>60</v>
      </c>
      <c r="C27">
        <v>553.56500000000005</v>
      </c>
      <c r="D27">
        <v>4.9450000000000003</v>
      </c>
      <c r="E27">
        <v>3.2</v>
      </c>
      <c r="F27">
        <v>185.3</v>
      </c>
      <c r="G27">
        <v>188.5</v>
      </c>
      <c r="H27">
        <v>3.222</v>
      </c>
    </row>
    <row r="28" spans="1:8" x14ac:dyDescent="0.3">
      <c r="A28">
        <v>30</v>
      </c>
      <c r="B28">
        <v>70</v>
      </c>
      <c r="C28">
        <v>554.39499999999998</v>
      </c>
      <c r="D28">
        <v>4.57</v>
      </c>
      <c r="E28">
        <v>3.2</v>
      </c>
      <c r="F28">
        <v>189.6</v>
      </c>
      <c r="G28">
        <v>192.8</v>
      </c>
      <c r="H28">
        <v>3.1850000000000001</v>
      </c>
    </row>
    <row r="29" spans="1:8" x14ac:dyDescent="0.3">
      <c r="A29">
        <v>30</v>
      </c>
      <c r="B29">
        <v>80</v>
      </c>
      <c r="C29">
        <v>542.51499999999999</v>
      </c>
      <c r="D29">
        <v>4.82</v>
      </c>
      <c r="E29">
        <v>3.1</v>
      </c>
      <c r="F29">
        <v>193.8</v>
      </c>
      <c r="G29">
        <v>196.9</v>
      </c>
      <c r="H29">
        <v>3.161</v>
      </c>
    </row>
    <row r="30" spans="1:8" x14ac:dyDescent="0.3">
      <c r="A30">
        <v>30</v>
      </c>
      <c r="B30">
        <v>90</v>
      </c>
      <c r="C30">
        <v>534.48500000000001</v>
      </c>
      <c r="D30">
        <v>4.9000000000000004</v>
      </c>
      <c r="E30">
        <v>3.1</v>
      </c>
      <c r="F30">
        <v>198</v>
      </c>
      <c r="G30">
        <v>201.1</v>
      </c>
      <c r="H30">
        <v>3.1419999999999999</v>
      </c>
    </row>
    <row r="31" spans="1:8" x14ac:dyDescent="0.3">
      <c r="A31">
        <v>30</v>
      </c>
      <c r="B31">
        <v>100</v>
      </c>
      <c r="C31">
        <v>550.61500000000001</v>
      </c>
      <c r="D31">
        <v>6.375</v>
      </c>
      <c r="E31">
        <v>3.1</v>
      </c>
      <c r="F31">
        <v>202.1</v>
      </c>
      <c r="G31">
        <v>205.2</v>
      </c>
      <c r="H31">
        <v>3.13</v>
      </c>
    </row>
    <row r="32" spans="1:8" x14ac:dyDescent="0.3">
      <c r="A32">
        <v>40</v>
      </c>
      <c r="B32">
        <v>10</v>
      </c>
      <c r="C32">
        <v>617.88499999999999</v>
      </c>
      <c r="D32">
        <v>4.7549999999999999</v>
      </c>
      <c r="E32">
        <v>3.9</v>
      </c>
      <c r="F32">
        <v>206.4</v>
      </c>
      <c r="G32">
        <v>210.3</v>
      </c>
      <c r="H32">
        <v>4.2080000000000002</v>
      </c>
    </row>
    <row r="33" spans="1:8" x14ac:dyDescent="0.3">
      <c r="A33">
        <v>40</v>
      </c>
      <c r="B33">
        <v>20</v>
      </c>
      <c r="C33">
        <v>545.755</v>
      </c>
      <c r="D33">
        <v>4.8550000000000004</v>
      </c>
      <c r="E33">
        <v>3</v>
      </c>
      <c r="F33">
        <v>211.6</v>
      </c>
      <c r="G33">
        <v>214.6</v>
      </c>
      <c r="H33">
        <v>3.21</v>
      </c>
    </row>
    <row r="34" spans="1:8" x14ac:dyDescent="0.3">
      <c r="A34">
        <v>40</v>
      </c>
      <c r="B34">
        <v>30</v>
      </c>
      <c r="C34">
        <v>530.98500000000001</v>
      </c>
      <c r="D34">
        <v>5.04</v>
      </c>
      <c r="E34">
        <v>2.8</v>
      </c>
      <c r="F34">
        <v>215.7</v>
      </c>
      <c r="G34">
        <v>218.5</v>
      </c>
      <c r="H34">
        <v>2.8740000000000001</v>
      </c>
    </row>
    <row r="35" spans="1:8" x14ac:dyDescent="0.3">
      <c r="A35">
        <v>40</v>
      </c>
      <c r="B35">
        <v>40</v>
      </c>
      <c r="C35">
        <v>518.30499999999995</v>
      </c>
      <c r="D35">
        <v>4.8</v>
      </c>
      <c r="E35">
        <v>2.6</v>
      </c>
      <c r="F35">
        <v>219.6</v>
      </c>
      <c r="G35">
        <v>222.2</v>
      </c>
      <c r="H35">
        <v>2.7069999999999999</v>
      </c>
    </row>
    <row r="36" spans="1:8" x14ac:dyDescent="0.3">
      <c r="A36">
        <v>40</v>
      </c>
      <c r="B36">
        <v>50</v>
      </c>
      <c r="C36">
        <v>505.64</v>
      </c>
      <c r="D36">
        <v>4.93</v>
      </c>
      <c r="E36">
        <v>2.6</v>
      </c>
      <c r="F36">
        <v>223.3</v>
      </c>
      <c r="G36">
        <v>225.9</v>
      </c>
      <c r="H36">
        <v>2.613</v>
      </c>
    </row>
    <row r="37" spans="1:8" x14ac:dyDescent="0.3">
      <c r="A37">
        <v>40</v>
      </c>
      <c r="B37">
        <v>60</v>
      </c>
      <c r="C37">
        <v>498.86</v>
      </c>
      <c r="D37">
        <v>4.58</v>
      </c>
      <c r="E37">
        <v>2.5</v>
      </c>
      <c r="F37">
        <v>226.9</v>
      </c>
      <c r="G37">
        <v>229.4</v>
      </c>
      <c r="H37">
        <v>2.5539999999999998</v>
      </c>
    </row>
    <row r="38" spans="1:8" x14ac:dyDescent="0.3">
      <c r="A38">
        <v>40</v>
      </c>
      <c r="B38">
        <v>70</v>
      </c>
      <c r="C38">
        <v>502.38499999999999</v>
      </c>
      <c r="D38">
        <v>4.41</v>
      </c>
      <c r="E38">
        <v>2.5</v>
      </c>
      <c r="F38">
        <v>230.4</v>
      </c>
      <c r="G38">
        <v>232.9</v>
      </c>
      <c r="H38">
        <v>2.5099999999999998</v>
      </c>
    </row>
    <row r="39" spans="1:8" x14ac:dyDescent="0.3">
      <c r="A39">
        <v>40</v>
      </c>
      <c r="B39">
        <v>80</v>
      </c>
      <c r="C39">
        <v>520.63</v>
      </c>
      <c r="D39">
        <v>5.3550000000000004</v>
      </c>
      <c r="E39">
        <v>2.5</v>
      </c>
      <c r="F39">
        <v>233.9</v>
      </c>
      <c r="G39">
        <v>236.4</v>
      </c>
      <c r="H39">
        <v>2.4860000000000002</v>
      </c>
    </row>
    <row r="40" spans="1:8" x14ac:dyDescent="0.3">
      <c r="A40">
        <v>40</v>
      </c>
      <c r="B40">
        <v>90</v>
      </c>
      <c r="C40">
        <v>510.75</v>
      </c>
      <c r="D40">
        <v>4.5949999999999998</v>
      </c>
      <c r="E40">
        <v>2.4</v>
      </c>
      <c r="F40">
        <v>237.5</v>
      </c>
      <c r="G40">
        <v>239.9</v>
      </c>
      <c r="H40">
        <v>2.4620000000000002</v>
      </c>
    </row>
    <row r="41" spans="1:8" x14ac:dyDescent="0.3">
      <c r="A41">
        <v>40</v>
      </c>
      <c r="B41">
        <v>100</v>
      </c>
      <c r="C41">
        <v>498.86</v>
      </c>
      <c r="D41">
        <v>5.6</v>
      </c>
      <c r="E41">
        <v>2.5</v>
      </c>
      <c r="F41">
        <v>240.9</v>
      </c>
      <c r="G41">
        <v>243.4</v>
      </c>
      <c r="H41">
        <v>2.4460000000000002</v>
      </c>
    </row>
    <row r="42" spans="1:8" x14ac:dyDescent="0.3">
      <c r="A42">
        <v>50</v>
      </c>
      <c r="B42">
        <v>10</v>
      </c>
      <c r="C42">
        <v>606.99</v>
      </c>
      <c r="D42">
        <v>4.7649999999999997</v>
      </c>
      <c r="E42">
        <v>3.7</v>
      </c>
      <c r="F42">
        <v>244.6</v>
      </c>
      <c r="G42">
        <v>248.3</v>
      </c>
      <c r="H42">
        <v>3.9780000000000002</v>
      </c>
    </row>
    <row r="43" spans="1:8" x14ac:dyDescent="0.3">
      <c r="A43">
        <v>50</v>
      </c>
      <c r="B43">
        <v>20</v>
      </c>
      <c r="C43">
        <v>531.28</v>
      </c>
      <c r="D43">
        <v>4.585</v>
      </c>
      <c r="E43">
        <v>2.7</v>
      </c>
      <c r="F43">
        <v>249.5</v>
      </c>
      <c r="G43">
        <v>252.2</v>
      </c>
      <c r="H43">
        <v>2.8919999999999999</v>
      </c>
    </row>
    <row r="44" spans="1:8" x14ac:dyDescent="0.3">
      <c r="A44">
        <v>50</v>
      </c>
      <c r="B44">
        <v>30</v>
      </c>
      <c r="C44">
        <v>522.35</v>
      </c>
      <c r="D44">
        <v>4.8250000000000002</v>
      </c>
      <c r="E44">
        <v>2.5</v>
      </c>
      <c r="F44">
        <v>253.3</v>
      </c>
      <c r="G44">
        <v>255.8</v>
      </c>
      <c r="H44">
        <v>2.5209999999999999</v>
      </c>
    </row>
    <row r="45" spans="1:8" x14ac:dyDescent="0.3">
      <c r="A45">
        <v>50</v>
      </c>
      <c r="B45">
        <v>40</v>
      </c>
      <c r="C45">
        <v>510.98</v>
      </c>
      <c r="D45">
        <v>4.415</v>
      </c>
      <c r="E45">
        <v>2.4</v>
      </c>
      <c r="F45">
        <v>256.8</v>
      </c>
      <c r="G45">
        <v>259.2</v>
      </c>
      <c r="H45">
        <v>2.3410000000000002</v>
      </c>
    </row>
    <row r="46" spans="1:8" x14ac:dyDescent="0.3">
      <c r="A46">
        <v>50</v>
      </c>
      <c r="B46">
        <v>50</v>
      </c>
      <c r="C46">
        <v>490.22</v>
      </c>
      <c r="D46">
        <v>4.97</v>
      </c>
      <c r="E46">
        <v>2.2000000000000002</v>
      </c>
      <c r="F46">
        <v>260.2</v>
      </c>
      <c r="G46">
        <v>262.39999999999998</v>
      </c>
      <c r="H46">
        <v>2.2349999999999999</v>
      </c>
    </row>
    <row r="47" spans="1:8" x14ac:dyDescent="0.3">
      <c r="A47">
        <v>50</v>
      </c>
      <c r="B47">
        <v>60</v>
      </c>
      <c r="C47">
        <v>479.89</v>
      </c>
      <c r="D47">
        <v>4.8449999999999998</v>
      </c>
      <c r="E47">
        <v>2.1</v>
      </c>
      <c r="F47">
        <v>263.5</v>
      </c>
      <c r="G47">
        <v>265.60000000000002</v>
      </c>
      <c r="H47">
        <v>2.1669999999999998</v>
      </c>
    </row>
    <row r="48" spans="1:8" x14ac:dyDescent="0.3">
      <c r="A48">
        <v>50</v>
      </c>
      <c r="B48">
        <v>70</v>
      </c>
      <c r="C48">
        <v>483.35500000000002</v>
      </c>
      <c r="D48">
        <v>4.6849999999999996</v>
      </c>
      <c r="E48">
        <v>2.1</v>
      </c>
      <c r="F48">
        <v>266.60000000000002</v>
      </c>
      <c r="G48">
        <v>268.7</v>
      </c>
      <c r="H48">
        <v>2.121</v>
      </c>
    </row>
    <row r="49" spans="1:8" x14ac:dyDescent="0.3">
      <c r="A49">
        <v>50</v>
      </c>
      <c r="B49">
        <v>80</v>
      </c>
      <c r="C49">
        <v>485.505</v>
      </c>
      <c r="D49">
        <v>4.76</v>
      </c>
      <c r="E49">
        <v>2.1</v>
      </c>
      <c r="F49">
        <v>269.7</v>
      </c>
      <c r="G49">
        <v>271.8</v>
      </c>
      <c r="H49">
        <v>2.0880000000000001</v>
      </c>
    </row>
    <row r="50" spans="1:8" x14ac:dyDescent="0.3">
      <c r="A50">
        <v>50</v>
      </c>
      <c r="B50">
        <v>90</v>
      </c>
      <c r="C50">
        <v>470.69</v>
      </c>
      <c r="D50">
        <v>5.2149999999999999</v>
      </c>
      <c r="E50">
        <v>2</v>
      </c>
      <c r="F50">
        <v>272.8</v>
      </c>
      <c r="G50">
        <v>274.8</v>
      </c>
      <c r="H50">
        <v>2.0649999999999999</v>
      </c>
    </row>
    <row r="51" spans="1:8" x14ac:dyDescent="0.3">
      <c r="A51">
        <v>50</v>
      </c>
      <c r="B51">
        <v>100</v>
      </c>
      <c r="C51">
        <v>477.11500000000001</v>
      </c>
      <c r="D51">
        <v>5.61</v>
      </c>
      <c r="E51">
        <v>2</v>
      </c>
      <c r="F51">
        <v>275.89999999999998</v>
      </c>
      <c r="G51">
        <v>277.89999999999998</v>
      </c>
      <c r="H51">
        <v>2.0430000000000001</v>
      </c>
    </row>
    <row r="52" spans="1:8" x14ac:dyDescent="0.3">
      <c r="A52">
        <v>60</v>
      </c>
      <c r="B52">
        <v>10</v>
      </c>
      <c r="C52">
        <v>582.88499999999999</v>
      </c>
      <c r="D52">
        <v>5.14</v>
      </c>
      <c r="E52">
        <v>3.5</v>
      </c>
      <c r="F52">
        <v>279.10000000000002</v>
      </c>
      <c r="G52">
        <v>282.60000000000002</v>
      </c>
      <c r="H52">
        <v>3.8010000000000002</v>
      </c>
    </row>
    <row r="53" spans="1:8" x14ac:dyDescent="0.3">
      <c r="A53">
        <v>60</v>
      </c>
      <c r="B53">
        <v>20</v>
      </c>
      <c r="C53">
        <v>520.67499999999995</v>
      </c>
      <c r="D53">
        <v>4.4400000000000004</v>
      </c>
      <c r="E53">
        <v>2.5</v>
      </c>
      <c r="F53">
        <v>283.89999999999998</v>
      </c>
      <c r="G53">
        <v>286.39999999999998</v>
      </c>
      <c r="H53">
        <v>2.718</v>
      </c>
    </row>
    <row r="54" spans="1:8" x14ac:dyDescent="0.3">
      <c r="A54">
        <v>60</v>
      </c>
      <c r="B54">
        <v>30</v>
      </c>
      <c r="C54">
        <v>506</v>
      </c>
      <c r="D54">
        <v>4.4349999999999996</v>
      </c>
      <c r="E54">
        <v>2.2999999999999998</v>
      </c>
      <c r="F54">
        <v>287.5</v>
      </c>
      <c r="G54">
        <v>289.8</v>
      </c>
      <c r="H54">
        <v>2.3109999999999999</v>
      </c>
    </row>
    <row r="55" spans="1:8" x14ac:dyDescent="0.3">
      <c r="A55">
        <v>60</v>
      </c>
      <c r="B55">
        <v>40</v>
      </c>
      <c r="C55">
        <v>491.685</v>
      </c>
      <c r="D55">
        <v>4.5199999999999996</v>
      </c>
      <c r="E55">
        <v>2.1</v>
      </c>
      <c r="F55">
        <v>290.8</v>
      </c>
      <c r="G55">
        <v>292.89999999999998</v>
      </c>
      <c r="H55">
        <v>2.1080000000000001</v>
      </c>
    </row>
    <row r="56" spans="1:8" x14ac:dyDescent="0.3">
      <c r="A56">
        <v>60</v>
      </c>
      <c r="B56">
        <v>50</v>
      </c>
      <c r="C56">
        <v>462.27499999999998</v>
      </c>
      <c r="D56">
        <v>5.5149999999999997</v>
      </c>
      <c r="E56">
        <v>2</v>
      </c>
      <c r="F56">
        <v>293.89999999999998</v>
      </c>
      <c r="G56">
        <v>295.89999999999998</v>
      </c>
      <c r="H56">
        <v>1.99</v>
      </c>
    </row>
    <row r="57" spans="1:8" x14ac:dyDescent="0.3">
      <c r="A57">
        <v>60</v>
      </c>
      <c r="B57">
        <v>60</v>
      </c>
      <c r="C57">
        <v>470.48500000000001</v>
      </c>
      <c r="D57">
        <v>5.18</v>
      </c>
      <c r="E57">
        <v>1.8</v>
      </c>
      <c r="F57">
        <v>297</v>
      </c>
      <c r="G57">
        <v>298.8</v>
      </c>
      <c r="H57">
        <v>1.9159999999999999</v>
      </c>
    </row>
    <row r="58" spans="1:8" x14ac:dyDescent="0.3">
      <c r="A58">
        <v>60</v>
      </c>
      <c r="B58">
        <v>70</v>
      </c>
      <c r="C58">
        <v>466.14499999999998</v>
      </c>
      <c r="D58">
        <v>5.17</v>
      </c>
      <c r="E58">
        <v>1.7</v>
      </c>
      <c r="F58">
        <v>299.89999999999998</v>
      </c>
      <c r="G58">
        <v>301.60000000000002</v>
      </c>
      <c r="H58">
        <v>1.8660000000000001</v>
      </c>
    </row>
    <row r="59" spans="1:8" x14ac:dyDescent="0.3">
      <c r="A59">
        <v>60</v>
      </c>
      <c r="B59">
        <v>80</v>
      </c>
      <c r="C59">
        <v>455.63499999999999</v>
      </c>
      <c r="D59">
        <v>5.2450000000000001</v>
      </c>
      <c r="E59">
        <v>1.8</v>
      </c>
      <c r="F59">
        <v>302.7</v>
      </c>
      <c r="G59">
        <v>304.5</v>
      </c>
      <c r="H59">
        <v>1.8320000000000001</v>
      </c>
    </row>
    <row r="60" spans="1:8" x14ac:dyDescent="0.3">
      <c r="A60">
        <v>60</v>
      </c>
      <c r="B60">
        <v>90</v>
      </c>
      <c r="C60">
        <v>429.71</v>
      </c>
      <c r="D60">
        <v>5.73</v>
      </c>
      <c r="E60">
        <v>1.7</v>
      </c>
      <c r="F60">
        <v>305.60000000000002</v>
      </c>
      <c r="G60">
        <v>307.3</v>
      </c>
      <c r="H60">
        <v>1.806</v>
      </c>
    </row>
    <row r="61" spans="1:8" x14ac:dyDescent="0.3">
      <c r="A61">
        <v>60</v>
      </c>
      <c r="B61">
        <v>100</v>
      </c>
      <c r="C61">
        <v>433.5</v>
      </c>
      <c r="D61">
        <v>6.9050000000000002</v>
      </c>
      <c r="E61">
        <v>1.7</v>
      </c>
      <c r="F61">
        <v>308.39999999999998</v>
      </c>
      <c r="G61">
        <v>310.10000000000002</v>
      </c>
      <c r="H61">
        <v>1.786</v>
      </c>
    </row>
    <row r="62" spans="1:8" x14ac:dyDescent="0.3">
      <c r="A62">
        <v>70</v>
      </c>
      <c r="B62">
        <v>10</v>
      </c>
      <c r="C62">
        <v>555.95000000000005</v>
      </c>
      <c r="D62">
        <v>4.37</v>
      </c>
      <c r="E62">
        <v>3.3</v>
      </c>
      <c r="F62">
        <v>311.39999999999998</v>
      </c>
      <c r="G62">
        <v>314.7</v>
      </c>
      <c r="H62">
        <v>3.661</v>
      </c>
    </row>
    <row r="63" spans="1:8" x14ac:dyDescent="0.3">
      <c r="A63">
        <v>70</v>
      </c>
      <c r="B63">
        <v>20</v>
      </c>
      <c r="C63">
        <v>507.15</v>
      </c>
      <c r="D63">
        <v>4.68</v>
      </c>
      <c r="E63">
        <v>2.5</v>
      </c>
      <c r="F63">
        <v>315.89999999999998</v>
      </c>
      <c r="G63">
        <v>318.39999999999998</v>
      </c>
      <c r="H63">
        <v>2.61</v>
      </c>
    </row>
    <row r="64" spans="1:8" x14ac:dyDescent="0.3">
      <c r="A64">
        <v>70</v>
      </c>
      <c r="B64">
        <v>30</v>
      </c>
      <c r="C64">
        <v>483.11</v>
      </c>
      <c r="D64">
        <v>5.1950000000000003</v>
      </c>
      <c r="E64">
        <v>2.1</v>
      </c>
      <c r="F64">
        <v>319.5</v>
      </c>
      <c r="G64">
        <v>321.60000000000002</v>
      </c>
      <c r="H64">
        <v>2.169</v>
      </c>
    </row>
    <row r="65" spans="1:8" x14ac:dyDescent="0.3">
      <c r="A65">
        <v>70</v>
      </c>
      <c r="B65">
        <v>40</v>
      </c>
      <c r="C65">
        <v>451.245</v>
      </c>
      <c r="D65">
        <v>4.9649999999999999</v>
      </c>
      <c r="E65">
        <v>1.9</v>
      </c>
      <c r="F65">
        <v>322.7</v>
      </c>
      <c r="G65">
        <v>324.60000000000002</v>
      </c>
      <c r="H65">
        <v>1.9470000000000001</v>
      </c>
    </row>
    <row r="66" spans="1:8" x14ac:dyDescent="0.3">
      <c r="A66">
        <v>70</v>
      </c>
      <c r="B66">
        <v>50</v>
      </c>
      <c r="C66">
        <v>440.06</v>
      </c>
      <c r="D66">
        <v>5.3049999999999997</v>
      </c>
      <c r="E66">
        <v>1.7</v>
      </c>
      <c r="F66">
        <v>325.7</v>
      </c>
      <c r="G66">
        <v>327.39999999999998</v>
      </c>
      <c r="H66">
        <v>1.825</v>
      </c>
    </row>
    <row r="67" spans="1:8" x14ac:dyDescent="0.3">
      <c r="A67">
        <v>70</v>
      </c>
      <c r="B67">
        <v>60</v>
      </c>
      <c r="C67">
        <v>428.88</v>
      </c>
      <c r="D67">
        <v>5.5149999999999997</v>
      </c>
      <c r="E67">
        <v>1.6</v>
      </c>
      <c r="F67">
        <v>328.5</v>
      </c>
      <c r="G67">
        <v>330.1</v>
      </c>
      <c r="H67">
        <v>1.744</v>
      </c>
    </row>
    <row r="68" spans="1:8" x14ac:dyDescent="0.3">
      <c r="A68">
        <v>70</v>
      </c>
      <c r="B68">
        <v>70</v>
      </c>
      <c r="C68">
        <v>399.125</v>
      </c>
      <c r="D68">
        <v>5.58</v>
      </c>
      <c r="E68">
        <v>1.6</v>
      </c>
      <c r="F68">
        <v>331.2</v>
      </c>
      <c r="G68">
        <v>332.8</v>
      </c>
      <c r="H68">
        <v>1.6890000000000001</v>
      </c>
    </row>
    <row r="69" spans="1:8" x14ac:dyDescent="0.3">
      <c r="A69">
        <v>70</v>
      </c>
      <c r="B69">
        <v>80</v>
      </c>
      <c r="C69">
        <v>457.11500000000001</v>
      </c>
      <c r="D69">
        <v>5.15</v>
      </c>
      <c r="E69">
        <v>1.6</v>
      </c>
      <c r="F69">
        <v>333.9</v>
      </c>
      <c r="G69">
        <v>335.5</v>
      </c>
      <c r="H69">
        <v>1.6519999999999999</v>
      </c>
    </row>
    <row r="70" spans="1:8" x14ac:dyDescent="0.3">
      <c r="A70">
        <v>70</v>
      </c>
      <c r="B70">
        <v>90</v>
      </c>
      <c r="C70">
        <v>452.69499999999999</v>
      </c>
      <c r="D70">
        <v>6.3650000000000002</v>
      </c>
      <c r="E70">
        <v>1.5</v>
      </c>
      <c r="F70">
        <v>336.6</v>
      </c>
      <c r="G70">
        <v>338.1</v>
      </c>
      <c r="H70">
        <v>1.625</v>
      </c>
    </row>
    <row r="71" spans="1:8" x14ac:dyDescent="0.3">
      <c r="A71">
        <v>70</v>
      </c>
      <c r="B71">
        <v>100</v>
      </c>
      <c r="C71">
        <v>414.2</v>
      </c>
      <c r="D71">
        <v>8.0449999999999999</v>
      </c>
      <c r="E71">
        <v>1.5</v>
      </c>
      <c r="F71">
        <v>339.2</v>
      </c>
      <c r="G71">
        <v>340.7</v>
      </c>
      <c r="H71">
        <v>1.599</v>
      </c>
    </row>
    <row r="72" spans="1:8" x14ac:dyDescent="0.3">
      <c r="A72">
        <v>80</v>
      </c>
      <c r="B72">
        <v>10</v>
      </c>
      <c r="C72">
        <v>537.90499999999997</v>
      </c>
      <c r="D72">
        <v>5.1150000000000002</v>
      </c>
      <c r="E72">
        <v>3.2</v>
      </c>
      <c r="F72">
        <v>342</v>
      </c>
      <c r="G72">
        <v>345.2</v>
      </c>
      <c r="H72">
        <v>3.544</v>
      </c>
    </row>
    <row r="73" spans="1:8" x14ac:dyDescent="0.3">
      <c r="A73">
        <v>80</v>
      </c>
      <c r="B73">
        <v>20</v>
      </c>
      <c r="C73">
        <v>492.43</v>
      </c>
      <c r="D73">
        <v>5.3449999999999998</v>
      </c>
      <c r="E73">
        <v>2.4</v>
      </c>
      <c r="F73">
        <v>346.5</v>
      </c>
      <c r="G73">
        <v>348.9</v>
      </c>
      <c r="H73">
        <v>2.528</v>
      </c>
    </row>
    <row r="74" spans="1:8" x14ac:dyDescent="0.3">
      <c r="A74">
        <v>80</v>
      </c>
      <c r="B74">
        <v>30</v>
      </c>
      <c r="C74">
        <v>462.71</v>
      </c>
      <c r="D74">
        <v>4.8</v>
      </c>
      <c r="E74">
        <v>1.9</v>
      </c>
      <c r="F74">
        <v>350</v>
      </c>
      <c r="G74">
        <v>351.9</v>
      </c>
      <c r="H74">
        <v>2.081</v>
      </c>
    </row>
    <row r="75" spans="1:8" x14ac:dyDescent="0.3">
      <c r="A75">
        <v>80</v>
      </c>
      <c r="B75">
        <v>40</v>
      </c>
      <c r="C75">
        <v>436.80500000000001</v>
      </c>
      <c r="D75">
        <v>5.1749999999999998</v>
      </c>
      <c r="E75">
        <v>1.7</v>
      </c>
      <c r="F75">
        <v>353</v>
      </c>
      <c r="G75">
        <v>354.7</v>
      </c>
      <c r="H75">
        <v>1.841</v>
      </c>
    </row>
    <row r="76" spans="1:8" x14ac:dyDescent="0.3">
      <c r="A76">
        <v>80</v>
      </c>
      <c r="B76">
        <v>50</v>
      </c>
      <c r="C76">
        <v>442.94499999999999</v>
      </c>
      <c r="D76">
        <v>5.1950000000000003</v>
      </c>
      <c r="E76">
        <v>1.6</v>
      </c>
      <c r="F76">
        <v>355.9</v>
      </c>
      <c r="G76">
        <v>357.5</v>
      </c>
      <c r="H76">
        <v>1.7090000000000001</v>
      </c>
    </row>
    <row r="77" spans="1:8" x14ac:dyDescent="0.3">
      <c r="A77">
        <v>80</v>
      </c>
      <c r="B77">
        <v>60</v>
      </c>
      <c r="C77">
        <v>444.89</v>
      </c>
      <c r="D77">
        <v>5.25</v>
      </c>
      <c r="E77">
        <v>1.5</v>
      </c>
      <c r="F77">
        <v>358.6</v>
      </c>
      <c r="G77">
        <v>360.1</v>
      </c>
      <c r="H77">
        <v>1.621</v>
      </c>
    </row>
    <row r="78" spans="1:8" x14ac:dyDescent="0.3">
      <c r="A78">
        <v>80</v>
      </c>
      <c r="B78">
        <v>70</v>
      </c>
      <c r="C78">
        <v>416.565</v>
      </c>
      <c r="D78">
        <v>5.2149999999999999</v>
      </c>
      <c r="E78">
        <v>1.5</v>
      </c>
      <c r="F78">
        <v>361.2</v>
      </c>
      <c r="G78">
        <v>362.7</v>
      </c>
      <c r="H78">
        <v>1.5640000000000001</v>
      </c>
    </row>
    <row r="79" spans="1:8" x14ac:dyDescent="0.3">
      <c r="A79">
        <v>80</v>
      </c>
      <c r="B79">
        <v>80</v>
      </c>
      <c r="C79">
        <v>426.43</v>
      </c>
      <c r="D79">
        <v>6.49</v>
      </c>
      <c r="E79">
        <v>1.4</v>
      </c>
      <c r="F79">
        <v>363.8</v>
      </c>
      <c r="G79">
        <v>365.2</v>
      </c>
      <c r="H79">
        <v>1.5209999999999999</v>
      </c>
    </row>
    <row r="80" spans="1:8" x14ac:dyDescent="0.3">
      <c r="A80">
        <v>80</v>
      </c>
      <c r="B80">
        <v>90</v>
      </c>
      <c r="C80">
        <v>445.52499999999998</v>
      </c>
      <c r="D80">
        <v>6.8449999999999998</v>
      </c>
      <c r="E80">
        <v>1.4</v>
      </c>
      <c r="F80">
        <v>366.3</v>
      </c>
      <c r="G80">
        <v>367.7</v>
      </c>
      <c r="H80">
        <v>1.4930000000000001</v>
      </c>
    </row>
    <row r="81" spans="1:8" x14ac:dyDescent="0.3">
      <c r="A81">
        <v>80</v>
      </c>
      <c r="B81">
        <v>100</v>
      </c>
      <c r="C81">
        <v>420.42</v>
      </c>
      <c r="D81">
        <v>8.3000000000000007</v>
      </c>
      <c r="E81">
        <v>1.4</v>
      </c>
      <c r="F81">
        <v>368.8</v>
      </c>
      <c r="G81">
        <v>370.2</v>
      </c>
      <c r="H81">
        <v>1.466</v>
      </c>
    </row>
    <row r="82" spans="1:8" x14ac:dyDescent="0.3">
      <c r="A82">
        <v>90</v>
      </c>
      <c r="B82">
        <v>10</v>
      </c>
      <c r="C82">
        <v>533.94500000000005</v>
      </c>
      <c r="D82">
        <v>4.6950000000000003</v>
      </c>
      <c r="E82">
        <v>3.2</v>
      </c>
      <c r="F82">
        <v>371.4</v>
      </c>
      <c r="G82">
        <v>374.6</v>
      </c>
      <c r="H82">
        <v>3.4409999999999998</v>
      </c>
    </row>
    <row r="83" spans="1:8" x14ac:dyDescent="0.3">
      <c r="A83">
        <v>90</v>
      </c>
      <c r="B83">
        <v>20</v>
      </c>
      <c r="C83">
        <v>483.03500000000003</v>
      </c>
      <c r="D83">
        <v>5.14</v>
      </c>
      <c r="E83">
        <v>2.4</v>
      </c>
      <c r="F83">
        <v>375.8</v>
      </c>
      <c r="G83">
        <v>378.2</v>
      </c>
      <c r="H83">
        <v>2.4550000000000001</v>
      </c>
    </row>
    <row r="84" spans="1:8" x14ac:dyDescent="0.3">
      <c r="A84">
        <v>90</v>
      </c>
      <c r="B84">
        <v>30</v>
      </c>
      <c r="C84">
        <v>430.19499999999999</v>
      </c>
      <c r="D84">
        <v>4.7450000000000001</v>
      </c>
      <c r="E84">
        <v>1.8</v>
      </c>
      <c r="F84">
        <v>379.3</v>
      </c>
      <c r="G84">
        <v>381.1</v>
      </c>
      <c r="H84">
        <v>2.0129999999999999</v>
      </c>
    </row>
    <row r="85" spans="1:8" x14ac:dyDescent="0.3">
      <c r="A85">
        <v>90</v>
      </c>
      <c r="B85">
        <v>40</v>
      </c>
      <c r="C85">
        <v>443.54</v>
      </c>
      <c r="D85">
        <v>5.04</v>
      </c>
      <c r="E85">
        <v>1.7</v>
      </c>
      <c r="F85">
        <v>382.2</v>
      </c>
      <c r="G85">
        <v>383.9</v>
      </c>
      <c r="H85">
        <v>1.766</v>
      </c>
    </row>
    <row r="86" spans="1:8" x14ac:dyDescent="0.3">
      <c r="A86">
        <v>90</v>
      </c>
      <c r="B86">
        <v>50</v>
      </c>
      <c r="C86">
        <v>436.08499999999998</v>
      </c>
      <c r="D86">
        <v>5.1950000000000003</v>
      </c>
      <c r="E86">
        <v>1.6</v>
      </c>
      <c r="F86">
        <v>385</v>
      </c>
      <c r="G86">
        <v>386.6</v>
      </c>
      <c r="H86">
        <v>1.625</v>
      </c>
    </row>
    <row r="87" spans="1:8" x14ac:dyDescent="0.3">
      <c r="A87">
        <v>90</v>
      </c>
      <c r="B87">
        <v>60</v>
      </c>
      <c r="C87">
        <v>417.78500000000003</v>
      </c>
      <c r="D87">
        <v>6.19</v>
      </c>
      <c r="E87">
        <v>1.3</v>
      </c>
      <c r="F87">
        <v>387.7</v>
      </c>
      <c r="G87">
        <v>389</v>
      </c>
      <c r="H87">
        <v>1.5329999999999999</v>
      </c>
    </row>
    <row r="88" spans="1:8" x14ac:dyDescent="0.3">
      <c r="A88">
        <v>90</v>
      </c>
      <c r="B88">
        <v>70</v>
      </c>
      <c r="C88">
        <v>428.11500000000001</v>
      </c>
      <c r="D88">
        <v>7.6449999999999996</v>
      </c>
      <c r="E88">
        <v>1.3</v>
      </c>
      <c r="F88">
        <v>390.2</v>
      </c>
      <c r="G88">
        <v>391.5</v>
      </c>
      <c r="H88">
        <v>1.4690000000000001</v>
      </c>
    </row>
    <row r="89" spans="1:8" x14ac:dyDescent="0.3">
      <c r="A89">
        <v>90</v>
      </c>
      <c r="B89">
        <v>80</v>
      </c>
      <c r="C89">
        <v>422.35500000000002</v>
      </c>
      <c r="D89">
        <v>6.6</v>
      </c>
      <c r="E89">
        <v>1.3</v>
      </c>
      <c r="F89">
        <v>392.7</v>
      </c>
      <c r="G89">
        <v>394</v>
      </c>
      <c r="H89">
        <v>1.425</v>
      </c>
    </row>
    <row r="90" spans="1:8" x14ac:dyDescent="0.3">
      <c r="A90">
        <v>90</v>
      </c>
      <c r="B90">
        <v>90</v>
      </c>
      <c r="C90">
        <v>426.64</v>
      </c>
      <c r="D90">
        <v>8.2850000000000001</v>
      </c>
      <c r="E90">
        <v>1.3</v>
      </c>
      <c r="F90">
        <v>395.1</v>
      </c>
      <c r="G90">
        <v>396.4</v>
      </c>
      <c r="H90">
        <v>1.3919999999999999</v>
      </c>
    </row>
    <row r="91" spans="1:8" x14ac:dyDescent="0.3">
      <c r="A91">
        <v>90</v>
      </c>
      <c r="B91">
        <v>100</v>
      </c>
      <c r="C91">
        <v>427.005</v>
      </c>
      <c r="D91">
        <v>10.395</v>
      </c>
      <c r="E91">
        <v>1.3</v>
      </c>
      <c r="F91">
        <v>397.5</v>
      </c>
      <c r="G91">
        <v>398.8</v>
      </c>
      <c r="H91">
        <v>1.367</v>
      </c>
    </row>
    <row r="92" spans="1:8" x14ac:dyDescent="0.3">
      <c r="A92">
        <v>100</v>
      </c>
      <c r="B92">
        <v>10</v>
      </c>
      <c r="C92">
        <v>531.12</v>
      </c>
      <c r="D92">
        <v>4.9050000000000002</v>
      </c>
      <c r="E92">
        <v>3.2</v>
      </c>
      <c r="F92">
        <v>400</v>
      </c>
      <c r="G92">
        <v>403.2</v>
      </c>
      <c r="H92">
        <v>3.4129999999999998</v>
      </c>
    </row>
    <row r="93" spans="1:8" x14ac:dyDescent="0.3">
      <c r="A93">
        <v>100</v>
      </c>
      <c r="B93">
        <v>20</v>
      </c>
      <c r="C93">
        <v>467.58</v>
      </c>
      <c r="D93">
        <v>4.5</v>
      </c>
      <c r="E93">
        <v>2.2000000000000002</v>
      </c>
      <c r="F93">
        <v>404.4</v>
      </c>
      <c r="G93">
        <v>406.6</v>
      </c>
      <c r="H93">
        <v>2.39</v>
      </c>
    </row>
    <row r="94" spans="1:8" x14ac:dyDescent="0.3">
      <c r="A94">
        <v>100</v>
      </c>
      <c r="B94">
        <v>30</v>
      </c>
      <c r="C94">
        <v>458.21</v>
      </c>
      <c r="D94">
        <v>5.0750000000000002</v>
      </c>
      <c r="E94">
        <v>1.9</v>
      </c>
      <c r="F94">
        <v>407.7</v>
      </c>
      <c r="G94">
        <v>409.6</v>
      </c>
      <c r="H94">
        <v>1.966</v>
      </c>
    </row>
    <row r="95" spans="1:8" x14ac:dyDescent="0.3">
      <c r="A95">
        <v>100</v>
      </c>
      <c r="B95">
        <v>40</v>
      </c>
      <c r="C95">
        <v>448.67500000000001</v>
      </c>
      <c r="D95">
        <v>5.17</v>
      </c>
      <c r="E95">
        <v>1.6</v>
      </c>
      <c r="F95">
        <v>410.7</v>
      </c>
      <c r="G95">
        <v>412.3</v>
      </c>
      <c r="H95">
        <v>1.7150000000000001</v>
      </c>
    </row>
    <row r="96" spans="1:8" x14ac:dyDescent="0.3">
      <c r="A96">
        <v>100</v>
      </c>
      <c r="B96">
        <v>50</v>
      </c>
      <c r="C96">
        <v>424.05500000000001</v>
      </c>
      <c r="D96">
        <v>5.22</v>
      </c>
      <c r="E96">
        <v>1.5</v>
      </c>
      <c r="F96">
        <v>413.4</v>
      </c>
      <c r="G96">
        <v>414.9</v>
      </c>
      <c r="H96">
        <v>1.5649999999999999</v>
      </c>
    </row>
    <row r="97" spans="1:8" x14ac:dyDescent="0.3">
      <c r="A97">
        <v>100</v>
      </c>
      <c r="B97">
        <v>60</v>
      </c>
      <c r="C97">
        <v>403.49</v>
      </c>
      <c r="D97">
        <v>6.2350000000000003</v>
      </c>
      <c r="E97">
        <v>1.3</v>
      </c>
      <c r="F97">
        <v>416</v>
      </c>
      <c r="G97">
        <v>417.3</v>
      </c>
      <c r="H97">
        <v>1.4670000000000001</v>
      </c>
    </row>
    <row r="98" spans="1:8" x14ac:dyDescent="0.3">
      <c r="A98">
        <v>100</v>
      </c>
      <c r="B98">
        <v>70</v>
      </c>
      <c r="C98">
        <v>402.58499999999998</v>
      </c>
      <c r="D98">
        <v>5.99</v>
      </c>
      <c r="E98">
        <v>1.3</v>
      </c>
      <c r="F98">
        <v>418.5</v>
      </c>
      <c r="G98">
        <v>419.8</v>
      </c>
      <c r="H98">
        <v>1.395</v>
      </c>
    </row>
    <row r="99" spans="1:8" x14ac:dyDescent="0.3">
      <c r="A99">
        <v>100</v>
      </c>
      <c r="B99">
        <v>80</v>
      </c>
      <c r="C99">
        <v>400.24</v>
      </c>
      <c r="D99">
        <v>10.49</v>
      </c>
      <c r="E99">
        <v>1.2</v>
      </c>
      <c r="F99">
        <v>420.9</v>
      </c>
      <c r="G99">
        <v>422.1</v>
      </c>
      <c r="H99">
        <v>1.353</v>
      </c>
    </row>
    <row r="100" spans="1:8" x14ac:dyDescent="0.3">
      <c r="A100">
        <v>100</v>
      </c>
      <c r="B100">
        <v>90</v>
      </c>
      <c r="C100">
        <v>420.61</v>
      </c>
      <c r="D100">
        <v>11.14</v>
      </c>
      <c r="E100">
        <v>1.2</v>
      </c>
      <c r="F100">
        <v>423.3</v>
      </c>
      <c r="G100">
        <v>424.5</v>
      </c>
      <c r="H100">
        <v>1.3169999999999999</v>
      </c>
    </row>
    <row r="101" spans="1:8" x14ac:dyDescent="0.3">
      <c r="A101">
        <v>100</v>
      </c>
      <c r="B101">
        <v>100</v>
      </c>
      <c r="C101">
        <v>411.64499999999998</v>
      </c>
      <c r="D101">
        <v>191.035</v>
      </c>
      <c r="E101">
        <v>1.2</v>
      </c>
      <c r="F101">
        <v>425.6</v>
      </c>
      <c r="G101">
        <v>426.8</v>
      </c>
      <c r="H101">
        <v>1.288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E65B8-B148-4A96-BF16-686B5C89BC98}">
  <dimension ref="A1:H101"/>
  <sheetViews>
    <sheetView topLeftCell="A70" workbookViewId="0">
      <selection sqref="A1:H1048576"/>
    </sheetView>
  </sheetViews>
  <sheetFormatPr defaultRowHeight="14.4" x14ac:dyDescent="0.3"/>
  <sheetData>
    <row r="1" spans="1:8" x14ac:dyDescent="0.3">
      <c r="A1" t="s">
        <v>16</v>
      </c>
      <c r="B1" t="s">
        <v>17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14</v>
      </c>
    </row>
    <row r="2" spans="1:8" x14ac:dyDescent="0.3">
      <c r="A2">
        <v>10</v>
      </c>
      <c r="B2">
        <v>10</v>
      </c>
      <c r="C2">
        <v>1084.74</v>
      </c>
      <c r="D2">
        <v>4.5</v>
      </c>
      <c r="E2">
        <v>9.3000000000000007</v>
      </c>
      <c r="F2">
        <v>4.9000000000000004</v>
      </c>
      <c r="G2">
        <v>14.2</v>
      </c>
      <c r="H2">
        <v>9.6340000000000003</v>
      </c>
    </row>
    <row r="3" spans="1:8" x14ac:dyDescent="0.3">
      <c r="A3">
        <v>10</v>
      </c>
      <c r="B3">
        <v>20</v>
      </c>
      <c r="C3">
        <v>1049.0899999999999</v>
      </c>
      <c r="D3">
        <v>4.9450000000000003</v>
      </c>
      <c r="E3">
        <v>8.9</v>
      </c>
      <c r="F3">
        <v>15.5</v>
      </c>
      <c r="G3">
        <v>24.4</v>
      </c>
      <c r="H3">
        <v>9.1370000000000005</v>
      </c>
    </row>
    <row r="4" spans="1:8" x14ac:dyDescent="0.3">
      <c r="A4">
        <v>10</v>
      </c>
      <c r="B4">
        <v>30</v>
      </c>
      <c r="C4">
        <v>1049.9349999999999</v>
      </c>
      <c r="D4">
        <v>5.33</v>
      </c>
      <c r="E4">
        <v>8.9</v>
      </c>
      <c r="F4">
        <v>25.6</v>
      </c>
      <c r="G4">
        <v>34.5</v>
      </c>
      <c r="H4">
        <v>8.968</v>
      </c>
    </row>
    <row r="5" spans="1:8" x14ac:dyDescent="0.3">
      <c r="A5">
        <v>10</v>
      </c>
      <c r="B5">
        <v>40</v>
      </c>
      <c r="C5">
        <v>1039.8</v>
      </c>
      <c r="D5">
        <v>4.5350000000000001</v>
      </c>
      <c r="E5">
        <v>8.8000000000000007</v>
      </c>
      <c r="F5">
        <v>35.6</v>
      </c>
      <c r="G5">
        <v>44.4</v>
      </c>
      <c r="H5">
        <v>8.8840000000000003</v>
      </c>
    </row>
    <row r="6" spans="1:8" x14ac:dyDescent="0.3">
      <c r="A6">
        <v>10</v>
      </c>
      <c r="B6">
        <v>50</v>
      </c>
      <c r="C6">
        <v>1053.68</v>
      </c>
      <c r="D6">
        <v>4.5449999999999999</v>
      </c>
      <c r="E6">
        <v>8.9</v>
      </c>
      <c r="F6">
        <v>45.4</v>
      </c>
      <c r="G6">
        <v>54.3</v>
      </c>
      <c r="H6">
        <v>8.8379999999999992</v>
      </c>
    </row>
    <row r="7" spans="1:8" x14ac:dyDescent="0.3">
      <c r="A7">
        <v>10</v>
      </c>
      <c r="B7">
        <v>60</v>
      </c>
      <c r="C7">
        <v>1039.4949999999999</v>
      </c>
      <c r="D7">
        <v>4.7750000000000004</v>
      </c>
      <c r="E7">
        <v>8.8000000000000007</v>
      </c>
      <c r="F7">
        <v>55.3</v>
      </c>
      <c r="G7">
        <v>64.099999999999994</v>
      </c>
      <c r="H7">
        <v>8.8019999999999996</v>
      </c>
    </row>
    <row r="8" spans="1:8" x14ac:dyDescent="0.3">
      <c r="A8">
        <v>10</v>
      </c>
      <c r="B8">
        <v>70</v>
      </c>
      <c r="C8">
        <v>1043.0250000000001</v>
      </c>
      <c r="D8">
        <v>5.0449999999999999</v>
      </c>
      <c r="E8">
        <v>8.8000000000000007</v>
      </c>
      <c r="F8">
        <v>65.099999999999994</v>
      </c>
      <c r="G8">
        <v>73.900000000000006</v>
      </c>
      <c r="H8">
        <v>8.7829999999999995</v>
      </c>
    </row>
    <row r="9" spans="1:8" x14ac:dyDescent="0.3">
      <c r="A9">
        <v>10</v>
      </c>
      <c r="B9">
        <v>80</v>
      </c>
      <c r="C9">
        <v>1039.3399999999999</v>
      </c>
      <c r="D9">
        <v>4.83</v>
      </c>
      <c r="E9">
        <v>8.8000000000000007</v>
      </c>
      <c r="F9">
        <v>74.900000000000006</v>
      </c>
      <c r="G9">
        <v>83.7</v>
      </c>
      <c r="H9">
        <v>8.7750000000000004</v>
      </c>
    </row>
    <row r="10" spans="1:8" x14ac:dyDescent="0.3">
      <c r="A10">
        <v>10</v>
      </c>
      <c r="B10">
        <v>90</v>
      </c>
      <c r="C10">
        <v>1043.325</v>
      </c>
      <c r="D10">
        <v>4.9000000000000004</v>
      </c>
      <c r="E10">
        <v>8.8000000000000007</v>
      </c>
      <c r="F10">
        <v>84.7</v>
      </c>
      <c r="G10">
        <v>93.5</v>
      </c>
      <c r="H10">
        <v>8.7569999999999997</v>
      </c>
    </row>
    <row r="11" spans="1:8" x14ac:dyDescent="0.3">
      <c r="A11">
        <v>10</v>
      </c>
      <c r="B11">
        <v>100</v>
      </c>
      <c r="C11">
        <v>1030.615</v>
      </c>
      <c r="D11">
        <v>5.43</v>
      </c>
      <c r="E11">
        <v>8.6999999999999993</v>
      </c>
      <c r="F11">
        <v>94.5</v>
      </c>
      <c r="G11">
        <v>103.2</v>
      </c>
      <c r="H11">
        <v>8.7469999999999999</v>
      </c>
    </row>
    <row r="12" spans="1:8" x14ac:dyDescent="0.3">
      <c r="A12">
        <v>20</v>
      </c>
      <c r="B12">
        <v>10</v>
      </c>
      <c r="C12">
        <v>740.68499999999995</v>
      </c>
      <c r="D12">
        <v>4.54</v>
      </c>
      <c r="E12">
        <v>5.5</v>
      </c>
      <c r="F12">
        <v>104.3</v>
      </c>
      <c r="G12">
        <v>109.8</v>
      </c>
      <c r="H12">
        <v>5.766</v>
      </c>
    </row>
    <row r="13" spans="1:8" x14ac:dyDescent="0.3">
      <c r="A13">
        <v>20</v>
      </c>
      <c r="B13">
        <v>20</v>
      </c>
      <c r="C13">
        <v>691.43</v>
      </c>
      <c r="D13">
        <v>4.9950000000000001</v>
      </c>
      <c r="E13">
        <v>5</v>
      </c>
      <c r="F13">
        <v>111</v>
      </c>
      <c r="G13">
        <v>116</v>
      </c>
      <c r="H13">
        <v>5.0599999999999996</v>
      </c>
    </row>
    <row r="14" spans="1:8" x14ac:dyDescent="0.3">
      <c r="A14">
        <v>20</v>
      </c>
      <c r="B14">
        <v>30</v>
      </c>
      <c r="C14">
        <v>661.59</v>
      </c>
      <c r="D14">
        <v>5.22</v>
      </c>
      <c r="E14">
        <v>4.7</v>
      </c>
      <c r="F14">
        <v>117.1</v>
      </c>
      <c r="G14">
        <v>121.8</v>
      </c>
      <c r="H14">
        <v>4.8220000000000001</v>
      </c>
    </row>
    <row r="15" spans="1:8" x14ac:dyDescent="0.3">
      <c r="A15">
        <v>20</v>
      </c>
      <c r="B15">
        <v>40</v>
      </c>
      <c r="C15">
        <v>649.56500000000005</v>
      </c>
      <c r="D15">
        <v>5.1100000000000003</v>
      </c>
      <c r="E15">
        <v>4.5999999999999996</v>
      </c>
      <c r="F15">
        <v>122.9</v>
      </c>
      <c r="G15">
        <v>127.5</v>
      </c>
      <c r="H15">
        <v>4.7039999999999997</v>
      </c>
    </row>
    <row r="16" spans="1:8" x14ac:dyDescent="0.3">
      <c r="A16">
        <v>20</v>
      </c>
      <c r="B16">
        <v>50</v>
      </c>
      <c r="C16">
        <v>653.38499999999999</v>
      </c>
      <c r="D16">
        <v>4.38</v>
      </c>
      <c r="E16">
        <v>4.5999999999999996</v>
      </c>
      <c r="F16">
        <v>128.6</v>
      </c>
      <c r="G16">
        <v>133.19999999999999</v>
      </c>
      <c r="H16">
        <v>4.6349999999999998</v>
      </c>
    </row>
    <row r="17" spans="1:8" x14ac:dyDescent="0.3">
      <c r="A17">
        <v>20</v>
      </c>
      <c r="B17">
        <v>60</v>
      </c>
      <c r="C17">
        <v>655.44500000000005</v>
      </c>
      <c r="D17">
        <v>4.55</v>
      </c>
      <c r="E17">
        <v>4.5999999999999996</v>
      </c>
      <c r="F17">
        <v>134.19999999999999</v>
      </c>
      <c r="G17">
        <v>138.80000000000001</v>
      </c>
      <c r="H17">
        <v>4.5919999999999996</v>
      </c>
    </row>
    <row r="18" spans="1:8" x14ac:dyDescent="0.3">
      <c r="A18">
        <v>20</v>
      </c>
      <c r="B18">
        <v>70</v>
      </c>
      <c r="C18">
        <v>654.28499999999997</v>
      </c>
      <c r="D18">
        <v>4.59</v>
      </c>
      <c r="E18">
        <v>4.5999999999999996</v>
      </c>
      <c r="F18">
        <v>139.80000000000001</v>
      </c>
      <c r="G18">
        <v>144.4</v>
      </c>
      <c r="H18">
        <v>4.5620000000000003</v>
      </c>
    </row>
    <row r="19" spans="1:8" x14ac:dyDescent="0.3">
      <c r="A19">
        <v>20</v>
      </c>
      <c r="B19">
        <v>80</v>
      </c>
      <c r="C19">
        <v>642.04</v>
      </c>
      <c r="D19">
        <v>4.21</v>
      </c>
      <c r="E19">
        <v>4.5</v>
      </c>
      <c r="F19">
        <v>145.4</v>
      </c>
      <c r="G19">
        <v>149.9</v>
      </c>
      <c r="H19">
        <v>4.54</v>
      </c>
    </row>
    <row r="20" spans="1:8" x14ac:dyDescent="0.3">
      <c r="A20">
        <v>20</v>
      </c>
      <c r="B20">
        <v>90</v>
      </c>
      <c r="C20">
        <v>649.44000000000005</v>
      </c>
      <c r="D20">
        <v>4.4649999999999999</v>
      </c>
      <c r="E20">
        <v>4.5999999999999996</v>
      </c>
      <c r="F20">
        <v>150.9</v>
      </c>
      <c r="G20">
        <v>155.5</v>
      </c>
      <c r="H20">
        <v>4.5289999999999999</v>
      </c>
    </row>
    <row r="21" spans="1:8" x14ac:dyDescent="0.3">
      <c r="A21">
        <v>20</v>
      </c>
      <c r="B21">
        <v>100</v>
      </c>
      <c r="C21">
        <v>640.45000000000005</v>
      </c>
      <c r="D21">
        <v>5.9749999999999996</v>
      </c>
      <c r="E21">
        <v>4.5</v>
      </c>
      <c r="F21">
        <v>156.5</v>
      </c>
      <c r="G21">
        <v>161</v>
      </c>
      <c r="H21">
        <v>4.516</v>
      </c>
    </row>
    <row r="22" spans="1:8" x14ac:dyDescent="0.3">
      <c r="A22">
        <v>30</v>
      </c>
      <c r="B22">
        <v>10</v>
      </c>
      <c r="C22">
        <v>636.17999999999995</v>
      </c>
      <c r="D22">
        <v>5.08</v>
      </c>
      <c r="E22">
        <v>4.3</v>
      </c>
      <c r="F22">
        <v>162.19999999999999</v>
      </c>
      <c r="G22">
        <v>166.5</v>
      </c>
      <c r="H22">
        <v>4.6500000000000004</v>
      </c>
    </row>
    <row r="23" spans="1:8" x14ac:dyDescent="0.3">
      <c r="A23">
        <v>30</v>
      </c>
      <c r="B23">
        <v>20</v>
      </c>
      <c r="C23">
        <v>572.48</v>
      </c>
      <c r="D23">
        <v>5.0549999999999997</v>
      </c>
      <c r="E23">
        <v>3.6</v>
      </c>
      <c r="F23">
        <v>167.8</v>
      </c>
      <c r="G23">
        <v>171.4</v>
      </c>
      <c r="H23">
        <v>3.7850000000000001</v>
      </c>
    </row>
    <row r="24" spans="1:8" x14ac:dyDescent="0.3">
      <c r="A24">
        <v>30</v>
      </c>
      <c r="B24">
        <v>30</v>
      </c>
      <c r="C24">
        <v>547.39499999999998</v>
      </c>
      <c r="D24">
        <v>5.16</v>
      </c>
      <c r="E24">
        <v>3.4</v>
      </c>
      <c r="F24">
        <v>172.5</v>
      </c>
      <c r="G24">
        <v>175.9</v>
      </c>
      <c r="H24">
        <v>3.4980000000000002</v>
      </c>
    </row>
    <row r="25" spans="1:8" x14ac:dyDescent="0.3">
      <c r="A25">
        <v>30</v>
      </c>
      <c r="B25">
        <v>40</v>
      </c>
      <c r="C25">
        <v>534.41</v>
      </c>
      <c r="D25">
        <v>5.1950000000000003</v>
      </c>
      <c r="E25">
        <v>3.3</v>
      </c>
      <c r="F25">
        <v>177</v>
      </c>
      <c r="G25">
        <v>180.3</v>
      </c>
      <c r="H25">
        <v>3.3559999999999999</v>
      </c>
    </row>
    <row r="26" spans="1:8" x14ac:dyDescent="0.3">
      <c r="A26">
        <v>30</v>
      </c>
      <c r="B26">
        <v>50</v>
      </c>
      <c r="C26">
        <v>529.82000000000005</v>
      </c>
      <c r="D26">
        <v>4.74</v>
      </c>
      <c r="E26">
        <v>3.2</v>
      </c>
      <c r="F26">
        <v>181.4</v>
      </c>
      <c r="G26">
        <v>184.6</v>
      </c>
      <c r="H26">
        <v>3.2719999999999998</v>
      </c>
    </row>
    <row r="27" spans="1:8" x14ac:dyDescent="0.3">
      <c r="A27">
        <v>30</v>
      </c>
      <c r="B27">
        <v>60</v>
      </c>
      <c r="C27">
        <v>552.89499999999998</v>
      </c>
      <c r="D27">
        <v>4.6349999999999998</v>
      </c>
      <c r="E27">
        <v>3.3</v>
      </c>
      <c r="F27">
        <v>185.6</v>
      </c>
      <c r="G27">
        <v>188.9</v>
      </c>
      <c r="H27">
        <v>3.2229999999999999</v>
      </c>
    </row>
    <row r="28" spans="1:8" x14ac:dyDescent="0.3">
      <c r="A28">
        <v>30</v>
      </c>
      <c r="B28">
        <v>70</v>
      </c>
      <c r="C28">
        <v>515.23500000000001</v>
      </c>
      <c r="D28">
        <v>4.4850000000000003</v>
      </c>
      <c r="E28">
        <v>3.1</v>
      </c>
      <c r="F28">
        <v>189.9</v>
      </c>
      <c r="G28">
        <v>193</v>
      </c>
      <c r="H28">
        <v>3.1850000000000001</v>
      </c>
    </row>
    <row r="29" spans="1:8" x14ac:dyDescent="0.3">
      <c r="A29">
        <v>30</v>
      </c>
      <c r="B29">
        <v>80</v>
      </c>
      <c r="C29">
        <v>554.24</v>
      </c>
      <c r="D29">
        <v>3.02</v>
      </c>
      <c r="E29">
        <v>3.3</v>
      </c>
      <c r="F29">
        <v>194</v>
      </c>
      <c r="G29">
        <v>197.3</v>
      </c>
      <c r="H29">
        <v>3.16</v>
      </c>
    </row>
    <row r="30" spans="1:8" x14ac:dyDescent="0.3">
      <c r="A30">
        <v>30</v>
      </c>
      <c r="B30">
        <v>90</v>
      </c>
      <c r="C30">
        <v>509.48</v>
      </c>
      <c r="D30">
        <v>3.0049999999999999</v>
      </c>
      <c r="E30">
        <v>3</v>
      </c>
      <c r="F30">
        <v>198.3</v>
      </c>
      <c r="G30">
        <v>201.3</v>
      </c>
      <c r="H30">
        <v>3.141</v>
      </c>
    </row>
    <row r="31" spans="1:8" x14ac:dyDescent="0.3">
      <c r="A31">
        <v>30</v>
      </c>
      <c r="B31">
        <v>100</v>
      </c>
      <c r="C31">
        <v>529.89</v>
      </c>
      <c r="D31">
        <v>5.0549999999999997</v>
      </c>
      <c r="E31">
        <v>3.1</v>
      </c>
      <c r="F31">
        <v>202.4</v>
      </c>
      <c r="G31">
        <v>205.5</v>
      </c>
      <c r="H31">
        <v>3.13</v>
      </c>
    </row>
    <row r="32" spans="1:8" x14ac:dyDescent="0.3">
      <c r="A32">
        <v>40</v>
      </c>
      <c r="B32">
        <v>10</v>
      </c>
      <c r="C32">
        <v>606.44000000000005</v>
      </c>
      <c r="D32">
        <v>4.5250000000000004</v>
      </c>
      <c r="E32">
        <v>3.9</v>
      </c>
      <c r="F32">
        <v>206.7</v>
      </c>
      <c r="G32">
        <v>210.6</v>
      </c>
      <c r="H32">
        <v>4.2050000000000001</v>
      </c>
    </row>
    <row r="33" spans="1:8" x14ac:dyDescent="0.3">
      <c r="A33">
        <v>40</v>
      </c>
      <c r="B33">
        <v>20</v>
      </c>
      <c r="C33">
        <v>527.19500000000005</v>
      </c>
      <c r="D33">
        <v>4.0999999999999996</v>
      </c>
      <c r="E33">
        <v>3</v>
      </c>
      <c r="F33">
        <v>211.8</v>
      </c>
      <c r="G33">
        <v>214.8</v>
      </c>
      <c r="H33">
        <v>3.2069999999999999</v>
      </c>
    </row>
    <row r="34" spans="1:8" x14ac:dyDescent="0.3">
      <c r="A34">
        <v>40</v>
      </c>
      <c r="B34">
        <v>30</v>
      </c>
      <c r="C34">
        <v>505.6</v>
      </c>
      <c r="D34">
        <v>4.8</v>
      </c>
      <c r="E34">
        <v>2.8</v>
      </c>
      <c r="F34">
        <v>216</v>
      </c>
      <c r="G34">
        <v>218.8</v>
      </c>
      <c r="H34">
        <v>2.8769999999999998</v>
      </c>
    </row>
    <row r="35" spans="1:8" x14ac:dyDescent="0.3">
      <c r="A35">
        <v>40</v>
      </c>
      <c r="B35">
        <v>40</v>
      </c>
      <c r="C35">
        <v>499.185</v>
      </c>
      <c r="D35">
        <v>4.7149999999999999</v>
      </c>
      <c r="E35">
        <v>2.6</v>
      </c>
      <c r="F35">
        <v>219.9</v>
      </c>
      <c r="G35">
        <v>222.5</v>
      </c>
      <c r="H35">
        <v>2.7090000000000001</v>
      </c>
    </row>
    <row r="36" spans="1:8" x14ac:dyDescent="0.3">
      <c r="A36">
        <v>40</v>
      </c>
      <c r="B36">
        <v>50</v>
      </c>
      <c r="C36">
        <v>488.57499999999999</v>
      </c>
      <c r="D36">
        <v>4.0449999999999999</v>
      </c>
      <c r="E36">
        <v>2.6</v>
      </c>
      <c r="F36">
        <v>223.6</v>
      </c>
      <c r="G36">
        <v>226.2</v>
      </c>
      <c r="H36">
        <v>2.6120000000000001</v>
      </c>
    </row>
    <row r="37" spans="1:8" x14ac:dyDescent="0.3">
      <c r="A37">
        <v>40</v>
      </c>
      <c r="B37">
        <v>60</v>
      </c>
      <c r="C37">
        <v>479.08499999999998</v>
      </c>
      <c r="D37">
        <v>4.0650000000000004</v>
      </c>
      <c r="E37">
        <v>2.5</v>
      </c>
      <c r="F37">
        <v>227.2</v>
      </c>
      <c r="G37">
        <v>229.7</v>
      </c>
      <c r="H37">
        <v>2.552</v>
      </c>
    </row>
    <row r="38" spans="1:8" x14ac:dyDescent="0.3">
      <c r="A38">
        <v>40</v>
      </c>
      <c r="B38">
        <v>70</v>
      </c>
      <c r="C38">
        <v>491.79500000000002</v>
      </c>
      <c r="D38">
        <v>4.59</v>
      </c>
      <c r="E38">
        <v>2.5</v>
      </c>
      <c r="F38">
        <v>230.7</v>
      </c>
      <c r="G38">
        <v>233.2</v>
      </c>
      <c r="H38">
        <v>2.5110000000000001</v>
      </c>
    </row>
    <row r="39" spans="1:8" x14ac:dyDescent="0.3">
      <c r="A39">
        <v>40</v>
      </c>
      <c r="B39">
        <v>80</v>
      </c>
      <c r="C39">
        <v>504.01</v>
      </c>
      <c r="D39">
        <v>4.2</v>
      </c>
      <c r="E39">
        <v>2.5</v>
      </c>
      <c r="F39">
        <v>234.3</v>
      </c>
      <c r="G39">
        <v>236.8</v>
      </c>
      <c r="H39">
        <v>2.484</v>
      </c>
    </row>
    <row r="40" spans="1:8" x14ac:dyDescent="0.3">
      <c r="A40">
        <v>40</v>
      </c>
      <c r="B40">
        <v>90</v>
      </c>
      <c r="C40">
        <v>476.40499999999997</v>
      </c>
      <c r="D40">
        <v>4.6050000000000004</v>
      </c>
      <c r="E40">
        <v>2.4</v>
      </c>
      <c r="F40">
        <v>237.8</v>
      </c>
      <c r="G40">
        <v>240.2</v>
      </c>
      <c r="H40">
        <v>2.4670000000000001</v>
      </c>
    </row>
    <row r="41" spans="1:8" x14ac:dyDescent="0.3">
      <c r="A41">
        <v>40</v>
      </c>
      <c r="B41">
        <v>100</v>
      </c>
      <c r="C41">
        <v>475.92</v>
      </c>
      <c r="D41">
        <v>5.67</v>
      </c>
      <c r="E41">
        <v>2.5</v>
      </c>
      <c r="F41">
        <v>241.2</v>
      </c>
      <c r="G41">
        <v>243.7</v>
      </c>
      <c r="H41">
        <v>2.444</v>
      </c>
    </row>
    <row r="42" spans="1:8" x14ac:dyDescent="0.3">
      <c r="A42">
        <v>50</v>
      </c>
      <c r="B42">
        <v>10</v>
      </c>
      <c r="C42">
        <v>578.94000000000005</v>
      </c>
      <c r="D42">
        <v>4.8</v>
      </c>
      <c r="E42">
        <v>3.6</v>
      </c>
      <c r="F42">
        <v>244.9</v>
      </c>
      <c r="G42">
        <v>248.5</v>
      </c>
      <c r="H42">
        <v>3.9769999999999999</v>
      </c>
    </row>
    <row r="43" spans="1:8" x14ac:dyDescent="0.3">
      <c r="A43">
        <v>50</v>
      </c>
      <c r="B43">
        <v>20</v>
      </c>
      <c r="C43">
        <v>524.46500000000003</v>
      </c>
      <c r="D43">
        <v>4.7750000000000004</v>
      </c>
      <c r="E43">
        <v>2.8</v>
      </c>
      <c r="F43">
        <v>249.8</v>
      </c>
      <c r="G43">
        <v>252.6</v>
      </c>
      <c r="H43">
        <v>2.8919999999999999</v>
      </c>
    </row>
    <row r="44" spans="1:8" x14ac:dyDescent="0.3">
      <c r="A44">
        <v>50</v>
      </c>
      <c r="B44">
        <v>30</v>
      </c>
      <c r="C44">
        <v>492.815</v>
      </c>
      <c r="D44">
        <v>4.9050000000000002</v>
      </c>
      <c r="E44">
        <v>2.4</v>
      </c>
      <c r="F44">
        <v>253.7</v>
      </c>
      <c r="G44">
        <v>256.10000000000002</v>
      </c>
      <c r="H44">
        <v>2.5219999999999998</v>
      </c>
    </row>
    <row r="45" spans="1:8" x14ac:dyDescent="0.3">
      <c r="A45">
        <v>50</v>
      </c>
      <c r="B45">
        <v>40</v>
      </c>
      <c r="C45">
        <v>482.86500000000001</v>
      </c>
      <c r="D45">
        <v>4.6550000000000002</v>
      </c>
      <c r="E45">
        <v>2.2999999999999998</v>
      </c>
      <c r="F45">
        <v>257.2</v>
      </c>
      <c r="G45">
        <v>259.5</v>
      </c>
      <c r="H45">
        <v>2.3370000000000002</v>
      </c>
    </row>
    <row r="46" spans="1:8" x14ac:dyDescent="0.3">
      <c r="A46">
        <v>50</v>
      </c>
      <c r="B46">
        <v>50</v>
      </c>
      <c r="C46">
        <v>474.65</v>
      </c>
      <c r="D46">
        <v>4.9000000000000004</v>
      </c>
      <c r="E46">
        <v>2.2000000000000002</v>
      </c>
      <c r="F46">
        <v>260.5</v>
      </c>
      <c r="G46">
        <v>262.7</v>
      </c>
      <c r="H46">
        <v>2.2370000000000001</v>
      </c>
    </row>
    <row r="47" spans="1:8" x14ac:dyDescent="0.3">
      <c r="A47">
        <v>50</v>
      </c>
      <c r="B47">
        <v>60</v>
      </c>
      <c r="C47">
        <v>469.065</v>
      </c>
      <c r="D47">
        <v>4.1050000000000004</v>
      </c>
      <c r="E47">
        <v>2.1</v>
      </c>
      <c r="F47">
        <v>263.8</v>
      </c>
      <c r="G47">
        <v>265.89999999999998</v>
      </c>
      <c r="H47">
        <v>2.1659999999999999</v>
      </c>
    </row>
    <row r="48" spans="1:8" x14ac:dyDescent="0.3">
      <c r="A48">
        <v>50</v>
      </c>
      <c r="B48">
        <v>70</v>
      </c>
      <c r="C48">
        <v>467.14</v>
      </c>
      <c r="D48">
        <v>4.6849999999999996</v>
      </c>
      <c r="E48">
        <v>2.1</v>
      </c>
      <c r="F48">
        <v>266.89999999999998</v>
      </c>
      <c r="G48">
        <v>269</v>
      </c>
      <c r="H48">
        <v>2.117</v>
      </c>
    </row>
    <row r="49" spans="1:8" x14ac:dyDescent="0.3">
      <c r="A49">
        <v>50</v>
      </c>
      <c r="B49">
        <v>80</v>
      </c>
      <c r="C49">
        <v>470.34</v>
      </c>
      <c r="D49">
        <v>4.54</v>
      </c>
      <c r="E49">
        <v>2.1</v>
      </c>
      <c r="F49">
        <v>270</v>
      </c>
      <c r="G49">
        <v>272.10000000000002</v>
      </c>
      <c r="H49">
        <v>2.0870000000000002</v>
      </c>
    </row>
    <row r="50" spans="1:8" x14ac:dyDescent="0.3">
      <c r="A50">
        <v>50</v>
      </c>
      <c r="B50">
        <v>90</v>
      </c>
      <c r="C50">
        <v>470.56</v>
      </c>
      <c r="D50">
        <v>4.96</v>
      </c>
      <c r="E50">
        <v>2</v>
      </c>
      <c r="F50">
        <v>273.10000000000002</v>
      </c>
      <c r="G50">
        <v>275.10000000000002</v>
      </c>
      <c r="H50">
        <v>2.0649999999999999</v>
      </c>
    </row>
    <row r="51" spans="1:8" x14ac:dyDescent="0.3">
      <c r="A51">
        <v>50</v>
      </c>
      <c r="B51">
        <v>100</v>
      </c>
      <c r="C51">
        <v>464.935</v>
      </c>
      <c r="D51">
        <v>5.2350000000000003</v>
      </c>
      <c r="E51">
        <v>2</v>
      </c>
      <c r="F51">
        <v>276.2</v>
      </c>
      <c r="G51">
        <v>278.2</v>
      </c>
      <c r="H51">
        <v>2.0470000000000002</v>
      </c>
    </row>
    <row r="52" spans="1:8" x14ac:dyDescent="0.3">
      <c r="A52">
        <v>60</v>
      </c>
      <c r="B52">
        <v>10</v>
      </c>
      <c r="C52">
        <v>587.15</v>
      </c>
      <c r="D52">
        <v>4.3049999999999997</v>
      </c>
      <c r="E52">
        <v>3.6</v>
      </c>
      <c r="F52">
        <v>279.39999999999998</v>
      </c>
      <c r="G52">
        <v>283</v>
      </c>
      <c r="H52">
        <v>3.8029999999999999</v>
      </c>
    </row>
    <row r="53" spans="1:8" x14ac:dyDescent="0.3">
      <c r="A53">
        <v>60</v>
      </c>
      <c r="B53">
        <v>20</v>
      </c>
      <c r="C53">
        <v>519.18499999999995</v>
      </c>
      <c r="D53">
        <v>4.2149999999999999</v>
      </c>
      <c r="E53">
        <v>2.6</v>
      </c>
      <c r="F53">
        <v>284.10000000000002</v>
      </c>
      <c r="G53">
        <v>286.7</v>
      </c>
      <c r="H53">
        <v>2.718</v>
      </c>
    </row>
    <row r="54" spans="1:8" x14ac:dyDescent="0.3">
      <c r="A54">
        <v>60</v>
      </c>
      <c r="B54">
        <v>30</v>
      </c>
      <c r="C54">
        <v>501.59500000000003</v>
      </c>
      <c r="D54">
        <v>5.1449999999999996</v>
      </c>
      <c r="E54">
        <v>2.2999999999999998</v>
      </c>
      <c r="F54">
        <v>287.8</v>
      </c>
      <c r="G54">
        <v>290.10000000000002</v>
      </c>
      <c r="H54">
        <v>2.31</v>
      </c>
    </row>
    <row r="55" spans="1:8" x14ac:dyDescent="0.3">
      <c r="A55">
        <v>60</v>
      </c>
      <c r="B55">
        <v>40</v>
      </c>
      <c r="C55">
        <v>480.95499999999998</v>
      </c>
      <c r="D55">
        <v>5.03</v>
      </c>
      <c r="E55">
        <v>2</v>
      </c>
      <c r="F55">
        <v>291.2</v>
      </c>
      <c r="G55">
        <v>293.2</v>
      </c>
      <c r="H55">
        <v>2.105</v>
      </c>
    </row>
    <row r="56" spans="1:8" x14ac:dyDescent="0.3">
      <c r="A56">
        <v>60</v>
      </c>
      <c r="B56">
        <v>50</v>
      </c>
      <c r="C56">
        <v>473.65499999999997</v>
      </c>
      <c r="D56">
        <v>4.0149999999999997</v>
      </c>
      <c r="E56">
        <v>1.9</v>
      </c>
      <c r="F56">
        <v>294.3</v>
      </c>
      <c r="G56">
        <v>296.2</v>
      </c>
      <c r="H56">
        <v>1.9890000000000001</v>
      </c>
    </row>
    <row r="57" spans="1:8" x14ac:dyDescent="0.3">
      <c r="A57">
        <v>60</v>
      </c>
      <c r="B57">
        <v>60</v>
      </c>
      <c r="C57">
        <v>458.27499999999998</v>
      </c>
      <c r="D57">
        <v>4.9050000000000002</v>
      </c>
      <c r="E57">
        <v>1.9</v>
      </c>
      <c r="F57">
        <v>297.2</v>
      </c>
      <c r="G57">
        <v>299.10000000000002</v>
      </c>
      <c r="H57">
        <v>1.915</v>
      </c>
    </row>
    <row r="58" spans="1:8" x14ac:dyDescent="0.3">
      <c r="A58">
        <v>60</v>
      </c>
      <c r="B58">
        <v>70</v>
      </c>
      <c r="C58">
        <v>434.22500000000002</v>
      </c>
      <c r="D58">
        <v>4.63</v>
      </c>
      <c r="E58">
        <v>1.8</v>
      </c>
      <c r="F58">
        <v>300.2</v>
      </c>
      <c r="G58">
        <v>302</v>
      </c>
      <c r="H58">
        <v>1.865</v>
      </c>
    </row>
    <row r="59" spans="1:8" x14ac:dyDescent="0.3">
      <c r="A59">
        <v>60</v>
      </c>
      <c r="B59">
        <v>80</v>
      </c>
      <c r="C59">
        <v>441.18</v>
      </c>
      <c r="D59">
        <v>5.12</v>
      </c>
      <c r="E59">
        <v>1.8</v>
      </c>
      <c r="F59">
        <v>303</v>
      </c>
      <c r="G59">
        <v>304.8</v>
      </c>
      <c r="H59">
        <v>1.829</v>
      </c>
    </row>
    <row r="60" spans="1:8" x14ac:dyDescent="0.3">
      <c r="A60">
        <v>60</v>
      </c>
      <c r="B60">
        <v>90</v>
      </c>
      <c r="C60">
        <v>451.54</v>
      </c>
      <c r="D60">
        <v>4.5250000000000004</v>
      </c>
      <c r="E60">
        <v>1.8</v>
      </c>
      <c r="F60">
        <v>305.89999999999998</v>
      </c>
      <c r="G60">
        <v>307.7</v>
      </c>
      <c r="H60">
        <v>1.8029999999999999</v>
      </c>
    </row>
    <row r="61" spans="1:8" x14ac:dyDescent="0.3">
      <c r="A61">
        <v>60</v>
      </c>
      <c r="B61">
        <v>100</v>
      </c>
      <c r="C61">
        <v>454.495</v>
      </c>
      <c r="D61">
        <v>5.25</v>
      </c>
      <c r="E61">
        <v>1.8</v>
      </c>
      <c r="F61">
        <v>308.7</v>
      </c>
      <c r="G61">
        <v>310.5</v>
      </c>
      <c r="H61">
        <v>1.7829999999999999</v>
      </c>
    </row>
    <row r="62" spans="1:8" x14ac:dyDescent="0.3">
      <c r="A62">
        <v>70</v>
      </c>
      <c r="B62">
        <v>10</v>
      </c>
      <c r="C62">
        <v>560.80499999999995</v>
      </c>
      <c r="D62">
        <v>4.72</v>
      </c>
      <c r="E62">
        <v>3.4</v>
      </c>
      <c r="F62">
        <v>311.60000000000002</v>
      </c>
      <c r="G62">
        <v>315</v>
      </c>
      <c r="H62">
        <v>3.6629999999999998</v>
      </c>
    </row>
    <row r="63" spans="1:8" x14ac:dyDescent="0.3">
      <c r="A63">
        <v>70</v>
      </c>
      <c r="B63">
        <v>20</v>
      </c>
      <c r="C63">
        <v>481.625</v>
      </c>
      <c r="D63">
        <v>4.4249999999999998</v>
      </c>
      <c r="E63">
        <v>2.4</v>
      </c>
      <c r="F63">
        <v>316.3</v>
      </c>
      <c r="G63">
        <v>318.7</v>
      </c>
      <c r="H63">
        <v>2.61</v>
      </c>
    </row>
    <row r="64" spans="1:8" x14ac:dyDescent="0.3">
      <c r="A64">
        <v>70</v>
      </c>
      <c r="B64">
        <v>30</v>
      </c>
      <c r="C64">
        <v>471.60500000000002</v>
      </c>
      <c r="D64">
        <v>4.5599999999999996</v>
      </c>
      <c r="E64">
        <v>2.1</v>
      </c>
      <c r="F64">
        <v>319.8</v>
      </c>
      <c r="G64">
        <v>321.89999999999998</v>
      </c>
      <c r="H64">
        <v>2.17</v>
      </c>
    </row>
    <row r="65" spans="1:8" x14ac:dyDescent="0.3">
      <c r="A65">
        <v>70</v>
      </c>
      <c r="B65">
        <v>40</v>
      </c>
      <c r="C65">
        <v>457.19</v>
      </c>
      <c r="D65">
        <v>4.4800000000000004</v>
      </c>
      <c r="E65">
        <v>1.8</v>
      </c>
      <c r="F65">
        <v>323</v>
      </c>
      <c r="G65">
        <v>324.8</v>
      </c>
      <c r="H65">
        <v>1.954</v>
      </c>
    </row>
    <row r="66" spans="1:8" x14ac:dyDescent="0.3">
      <c r="A66">
        <v>70</v>
      </c>
      <c r="B66">
        <v>50</v>
      </c>
      <c r="C66">
        <v>467.065</v>
      </c>
      <c r="D66">
        <v>4.6349999999999998</v>
      </c>
      <c r="E66">
        <v>1.8</v>
      </c>
      <c r="F66">
        <v>325.89999999999998</v>
      </c>
      <c r="G66">
        <v>327.7</v>
      </c>
      <c r="H66">
        <v>1.83</v>
      </c>
    </row>
    <row r="67" spans="1:8" x14ac:dyDescent="0.3">
      <c r="A67">
        <v>70</v>
      </c>
      <c r="B67">
        <v>60</v>
      </c>
      <c r="C67">
        <v>451.125</v>
      </c>
      <c r="D67">
        <v>4.5449999999999999</v>
      </c>
      <c r="E67">
        <v>1.6</v>
      </c>
      <c r="F67">
        <v>328.8</v>
      </c>
      <c r="G67">
        <v>330.4</v>
      </c>
      <c r="H67">
        <v>1.748</v>
      </c>
    </row>
    <row r="68" spans="1:8" x14ac:dyDescent="0.3">
      <c r="A68">
        <v>70</v>
      </c>
      <c r="B68">
        <v>70</v>
      </c>
      <c r="C68">
        <v>472.01</v>
      </c>
      <c r="D68">
        <v>5</v>
      </c>
      <c r="E68">
        <v>1.7</v>
      </c>
      <c r="F68">
        <v>331.5</v>
      </c>
      <c r="G68">
        <v>333.2</v>
      </c>
      <c r="H68">
        <v>1.6890000000000001</v>
      </c>
    </row>
    <row r="69" spans="1:8" x14ac:dyDescent="0.3">
      <c r="A69">
        <v>70</v>
      </c>
      <c r="B69">
        <v>80</v>
      </c>
      <c r="C69">
        <v>419.565</v>
      </c>
      <c r="D69">
        <v>5.585</v>
      </c>
      <c r="E69">
        <v>1.5</v>
      </c>
      <c r="F69">
        <v>334.3</v>
      </c>
      <c r="G69">
        <v>335.8</v>
      </c>
      <c r="H69">
        <v>1.651</v>
      </c>
    </row>
    <row r="70" spans="1:8" x14ac:dyDescent="0.3">
      <c r="A70">
        <v>70</v>
      </c>
      <c r="B70">
        <v>90</v>
      </c>
      <c r="C70">
        <v>410.47500000000002</v>
      </c>
      <c r="D70">
        <v>5.7249999999999996</v>
      </c>
      <c r="E70">
        <v>1.5</v>
      </c>
      <c r="F70">
        <v>336.9</v>
      </c>
      <c r="G70">
        <v>338.4</v>
      </c>
      <c r="H70">
        <v>1.623</v>
      </c>
    </row>
    <row r="71" spans="1:8" x14ac:dyDescent="0.3">
      <c r="A71">
        <v>70</v>
      </c>
      <c r="B71">
        <v>100</v>
      </c>
      <c r="C71">
        <v>463.2</v>
      </c>
      <c r="D71">
        <v>5.8449999999999998</v>
      </c>
      <c r="E71">
        <v>1.6</v>
      </c>
      <c r="F71">
        <v>339.5</v>
      </c>
      <c r="G71">
        <v>341.1</v>
      </c>
      <c r="H71">
        <v>1.597</v>
      </c>
    </row>
    <row r="72" spans="1:8" x14ac:dyDescent="0.3">
      <c r="A72">
        <v>80</v>
      </c>
      <c r="B72">
        <v>10</v>
      </c>
      <c r="C72">
        <v>531.96</v>
      </c>
      <c r="D72">
        <v>4.0049999999999999</v>
      </c>
      <c r="E72">
        <v>3.2</v>
      </c>
      <c r="F72">
        <v>342.3</v>
      </c>
      <c r="G72">
        <v>345.5</v>
      </c>
      <c r="H72">
        <v>3.5409999999999999</v>
      </c>
    </row>
    <row r="73" spans="1:8" x14ac:dyDescent="0.3">
      <c r="A73">
        <v>80</v>
      </c>
      <c r="B73">
        <v>20</v>
      </c>
      <c r="C73">
        <v>482.21499999999997</v>
      </c>
      <c r="D73">
        <v>4.7050000000000001</v>
      </c>
      <c r="E73">
        <v>2.4</v>
      </c>
      <c r="F73">
        <v>346.7</v>
      </c>
      <c r="G73">
        <v>349.1</v>
      </c>
      <c r="H73">
        <v>2.528</v>
      </c>
    </row>
    <row r="74" spans="1:8" x14ac:dyDescent="0.3">
      <c r="A74">
        <v>80</v>
      </c>
      <c r="B74">
        <v>30</v>
      </c>
      <c r="C74">
        <v>482.5</v>
      </c>
      <c r="D74">
        <v>5.29</v>
      </c>
      <c r="E74">
        <v>2.1</v>
      </c>
      <c r="F74">
        <v>350.2</v>
      </c>
      <c r="G74">
        <v>352.3</v>
      </c>
      <c r="H74">
        <v>2.0779999999999998</v>
      </c>
    </row>
    <row r="75" spans="1:8" x14ac:dyDescent="0.3">
      <c r="A75">
        <v>80</v>
      </c>
      <c r="B75">
        <v>40</v>
      </c>
      <c r="C75">
        <v>444.03</v>
      </c>
      <c r="D75">
        <v>5.38</v>
      </c>
      <c r="E75">
        <v>1.7</v>
      </c>
      <c r="F75">
        <v>353.4</v>
      </c>
      <c r="G75">
        <v>355.1</v>
      </c>
      <c r="H75">
        <v>1.841</v>
      </c>
    </row>
    <row r="76" spans="1:8" x14ac:dyDescent="0.3">
      <c r="A76">
        <v>80</v>
      </c>
      <c r="B76">
        <v>50</v>
      </c>
      <c r="C76">
        <v>442.84</v>
      </c>
      <c r="D76">
        <v>4.78</v>
      </c>
      <c r="E76">
        <v>1.6</v>
      </c>
      <c r="F76">
        <v>356.2</v>
      </c>
      <c r="G76">
        <v>357.8</v>
      </c>
      <c r="H76">
        <v>1.712</v>
      </c>
    </row>
    <row r="77" spans="1:8" x14ac:dyDescent="0.3">
      <c r="A77">
        <v>80</v>
      </c>
      <c r="B77">
        <v>60</v>
      </c>
      <c r="C77">
        <v>407.4</v>
      </c>
      <c r="D77">
        <v>5.18</v>
      </c>
      <c r="E77">
        <v>1.5</v>
      </c>
      <c r="F77">
        <v>358.9</v>
      </c>
      <c r="G77">
        <v>360.4</v>
      </c>
      <c r="H77">
        <v>1.6259999999999999</v>
      </c>
    </row>
    <row r="78" spans="1:8" x14ac:dyDescent="0.3">
      <c r="A78">
        <v>80</v>
      </c>
      <c r="B78">
        <v>70</v>
      </c>
      <c r="C78">
        <v>439.89</v>
      </c>
      <c r="D78">
        <v>5.14</v>
      </c>
      <c r="E78">
        <v>1.5</v>
      </c>
      <c r="F78">
        <v>361.5</v>
      </c>
      <c r="G78">
        <v>363</v>
      </c>
      <c r="H78">
        <v>1.5649999999999999</v>
      </c>
    </row>
    <row r="79" spans="1:8" x14ac:dyDescent="0.3">
      <c r="A79">
        <v>80</v>
      </c>
      <c r="B79">
        <v>80</v>
      </c>
      <c r="C79">
        <v>396.32</v>
      </c>
      <c r="D79">
        <v>6.11</v>
      </c>
      <c r="E79">
        <v>1.4</v>
      </c>
      <c r="F79">
        <v>364.1</v>
      </c>
      <c r="G79">
        <v>365.5</v>
      </c>
      <c r="H79">
        <v>1.522</v>
      </c>
    </row>
    <row r="80" spans="1:8" x14ac:dyDescent="0.3">
      <c r="A80">
        <v>80</v>
      </c>
      <c r="B80">
        <v>90</v>
      </c>
      <c r="C80">
        <v>436.505</v>
      </c>
      <c r="D80">
        <v>7.8650000000000002</v>
      </c>
      <c r="E80">
        <v>1.4</v>
      </c>
      <c r="F80">
        <v>366.6</v>
      </c>
      <c r="G80">
        <v>368</v>
      </c>
      <c r="H80">
        <v>1.4910000000000001</v>
      </c>
    </row>
    <row r="81" spans="1:8" x14ac:dyDescent="0.3">
      <c r="A81">
        <v>80</v>
      </c>
      <c r="B81">
        <v>100</v>
      </c>
      <c r="C81">
        <v>422.95499999999998</v>
      </c>
      <c r="D81">
        <v>8.7100000000000009</v>
      </c>
      <c r="E81">
        <v>1.4</v>
      </c>
      <c r="F81">
        <v>369.1</v>
      </c>
      <c r="G81">
        <v>370.5</v>
      </c>
      <c r="H81">
        <v>1.4670000000000001</v>
      </c>
    </row>
    <row r="82" spans="1:8" x14ac:dyDescent="0.3">
      <c r="A82">
        <v>90</v>
      </c>
      <c r="B82">
        <v>10</v>
      </c>
      <c r="C82">
        <v>531.44500000000005</v>
      </c>
      <c r="D82">
        <v>4.0999999999999996</v>
      </c>
      <c r="E82">
        <v>3.2</v>
      </c>
      <c r="F82">
        <v>371.7</v>
      </c>
      <c r="G82">
        <v>374.9</v>
      </c>
      <c r="H82">
        <v>3.4430000000000001</v>
      </c>
    </row>
    <row r="83" spans="1:8" x14ac:dyDescent="0.3">
      <c r="A83">
        <v>90</v>
      </c>
      <c r="B83">
        <v>20</v>
      </c>
      <c r="C83">
        <v>485.57</v>
      </c>
      <c r="D83">
        <v>5.165</v>
      </c>
      <c r="E83">
        <v>2.4</v>
      </c>
      <c r="F83">
        <v>376.1</v>
      </c>
      <c r="G83">
        <v>378.5</v>
      </c>
      <c r="H83">
        <v>2.4540000000000002</v>
      </c>
    </row>
    <row r="84" spans="1:8" x14ac:dyDescent="0.3">
      <c r="A84">
        <v>90</v>
      </c>
      <c r="B84">
        <v>30</v>
      </c>
      <c r="C84">
        <v>432.3</v>
      </c>
      <c r="D84">
        <v>4.4800000000000004</v>
      </c>
      <c r="E84">
        <v>1.8</v>
      </c>
      <c r="F84">
        <v>379.6</v>
      </c>
      <c r="G84">
        <v>381.4</v>
      </c>
      <c r="H84">
        <v>2.0129999999999999</v>
      </c>
    </row>
    <row r="85" spans="1:8" x14ac:dyDescent="0.3">
      <c r="A85">
        <v>90</v>
      </c>
      <c r="B85">
        <v>40</v>
      </c>
      <c r="C85">
        <v>427.315</v>
      </c>
      <c r="D85">
        <v>4.6050000000000004</v>
      </c>
      <c r="E85">
        <v>1.7</v>
      </c>
      <c r="F85">
        <v>382.5</v>
      </c>
      <c r="G85">
        <v>384.2</v>
      </c>
      <c r="H85">
        <v>1.768</v>
      </c>
    </row>
    <row r="86" spans="1:8" x14ac:dyDescent="0.3">
      <c r="A86">
        <v>90</v>
      </c>
      <c r="B86">
        <v>50</v>
      </c>
      <c r="C86">
        <v>436.625</v>
      </c>
      <c r="D86">
        <v>5.0999999999999996</v>
      </c>
      <c r="E86">
        <v>1.6</v>
      </c>
      <c r="F86">
        <v>385.3</v>
      </c>
      <c r="G86">
        <v>386.9</v>
      </c>
      <c r="H86">
        <v>1.629</v>
      </c>
    </row>
    <row r="87" spans="1:8" x14ac:dyDescent="0.3">
      <c r="A87">
        <v>90</v>
      </c>
      <c r="B87">
        <v>60</v>
      </c>
      <c r="C87">
        <v>397.89499999999998</v>
      </c>
      <c r="D87">
        <v>5.05</v>
      </c>
      <c r="E87">
        <v>1.4</v>
      </c>
      <c r="F87">
        <v>388</v>
      </c>
      <c r="G87">
        <v>389.4</v>
      </c>
      <c r="H87">
        <v>1.5309999999999999</v>
      </c>
    </row>
    <row r="88" spans="1:8" x14ac:dyDescent="0.3">
      <c r="A88">
        <v>90</v>
      </c>
      <c r="B88">
        <v>70</v>
      </c>
      <c r="C88">
        <v>423.39</v>
      </c>
      <c r="D88">
        <v>8</v>
      </c>
      <c r="E88">
        <v>1.3</v>
      </c>
      <c r="F88">
        <v>390.5</v>
      </c>
      <c r="G88">
        <v>391.8</v>
      </c>
      <c r="H88">
        <v>1.4710000000000001</v>
      </c>
    </row>
    <row r="89" spans="1:8" x14ac:dyDescent="0.3">
      <c r="A89">
        <v>90</v>
      </c>
      <c r="B89">
        <v>80</v>
      </c>
      <c r="C89">
        <v>426.88499999999999</v>
      </c>
      <c r="D89">
        <v>8.3350000000000009</v>
      </c>
      <c r="E89">
        <v>1.3</v>
      </c>
      <c r="F89">
        <v>393</v>
      </c>
      <c r="G89">
        <v>394.3</v>
      </c>
      <c r="H89">
        <v>1.425</v>
      </c>
    </row>
    <row r="90" spans="1:8" x14ac:dyDescent="0.3">
      <c r="A90">
        <v>90</v>
      </c>
      <c r="B90">
        <v>90</v>
      </c>
      <c r="C90">
        <v>430.88499999999999</v>
      </c>
      <c r="D90">
        <v>8.6999999999999993</v>
      </c>
      <c r="E90">
        <v>1.3</v>
      </c>
      <c r="F90">
        <v>395.4</v>
      </c>
      <c r="G90">
        <v>396.7</v>
      </c>
      <c r="H90">
        <v>1.395</v>
      </c>
    </row>
    <row r="91" spans="1:8" x14ac:dyDescent="0.3">
      <c r="A91">
        <v>90</v>
      </c>
      <c r="B91">
        <v>100</v>
      </c>
      <c r="C91">
        <v>415.755</v>
      </c>
      <c r="D91">
        <v>11.005000000000001</v>
      </c>
      <c r="E91">
        <v>1.3</v>
      </c>
      <c r="F91">
        <v>397.8</v>
      </c>
      <c r="G91">
        <v>399.1</v>
      </c>
      <c r="H91">
        <v>1.369</v>
      </c>
    </row>
    <row r="92" spans="1:8" x14ac:dyDescent="0.3">
      <c r="A92">
        <v>100</v>
      </c>
      <c r="B92">
        <v>10</v>
      </c>
      <c r="C92">
        <v>526.71</v>
      </c>
      <c r="D92">
        <v>4.58</v>
      </c>
      <c r="E92">
        <v>3.2</v>
      </c>
      <c r="F92">
        <v>400.3</v>
      </c>
      <c r="G92">
        <v>403.5</v>
      </c>
      <c r="H92">
        <v>3.41</v>
      </c>
    </row>
    <row r="93" spans="1:8" x14ac:dyDescent="0.3">
      <c r="A93">
        <v>100</v>
      </c>
      <c r="B93">
        <v>20</v>
      </c>
      <c r="C93">
        <v>467.75</v>
      </c>
      <c r="D93">
        <v>4.1550000000000002</v>
      </c>
      <c r="E93">
        <v>2.2000000000000002</v>
      </c>
      <c r="F93">
        <v>404.7</v>
      </c>
      <c r="G93">
        <v>406.9</v>
      </c>
      <c r="H93">
        <v>2.3929999999999998</v>
      </c>
    </row>
    <row r="94" spans="1:8" x14ac:dyDescent="0.3">
      <c r="A94">
        <v>100</v>
      </c>
      <c r="B94">
        <v>30</v>
      </c>
      <c r="C94">
        <v>457.78</v>
      </c>
      <c r="D94">
        <v>4.84</v>
      </c>
      <c r="E94">
        <v>1.9</v>
      </c>
      <c r="F94">
        <v>408</v>
      </c>
      <c r="G94">
        <v>409.9</v>
      </c>
      <c r="H94">
        <v>1.9650000000000001</v>
      </c>
    </row>
    <row r="95" spans="1:8" x14ac:dyDescent="0.3">
      <c r="A95">
        <v>100</v>
      </c>
      <c r="B95">
        <v>40</v>
      </c>
      <c r="C95">
        <v>447.48</v>
      </c>
      <c r="D95">
        <v>4.84</v>
      </c>
      <c r="E95">
        <v>1.6</v>
      </c>
      <c r="F95">
        <v>411</v>
      </c>
      <c r="G95">
        <v>412.6</v>
      </c>
      <c r="H95">
        <v>1.7110000000000001</v>
      </c>
    </row>
    <row r="96" spans="1:8" x14ac:dyDescent="0.3">
      <c r="A96">
        <v>100</v>
      </c>
      <c r="B96">
        <v>50</v>
      </c>
      <c r="C96">
        <v>421.02</v>
      </c>
      <c r="D96">
        <v>4.9450000000000003</v>
      </c>
      <c r="E96">
        <v>1.5</v>
      </c>
      <c r="F96">
        <v>413.7</v>
      </c>
      <c r="G96">
        <v>415.2</v>
      </c>
      <c r="H96">
        <v>1.5649999999999999</v>
      </c>
    </row>
    <row r="97" spans="1:8" x14ac:dyDescent="0.3">
      <c r="A97">
        <v>100</v>
      </c>
      <c r="B97">
        <v>60</v>
      </c>
      <c r="C97">
        <v>404.05500000000001</v>
      </c>
      <c r="D97">
        <v>5.085</v>
      </c>
      <c r="E97">
        <v>1.4</v>
      </c>
      <c r="F97">
        <v>416.3</v>
      </c>
      <c r="G97">
        <v>417.7</v>
      </c>
      <c r="H97">
        <v>1.4670000000000001</v>
      </c>
    </row>
    <row r="98" spans="1:8" x14ac:dyDescent="0.3">
      <c r="A98">
        <v>100</v>
      </c>
      <c r="B98">
        <v>70</v>
      </c>
      <c r="C98">
        <v>405.27499999999998</v>
      </c>
      <c r="D98">
        <v>6.4550000000000001</v>
      </c>
      <c r="E98">
        <v>1.3</v>
      </c>
      <c r="F98">
        <v>418.8</v>
      </c>
      <c r="G98">
        <v>420.1</v>
      </c>
      <c r="H98">
        <v>1.3979999999999999</v>
      </c>
    </row>
    <row r="99" spans="1:8" x14ac:dyDescent="0.3">
      <c r="A99">
        <v>100</v>
      </c>
      <c r="B99">
        <v>80</v>
      </c>
      <c r="C99">
        <v>403.54500000000002</v>
      </c>
      <c r="D99">
        <v>8.27</v>
      </c>
      <c r="E99">
        <v>1.3</v>
      </c>
      <c r="F99">
        <v>421.2</v>
      </c>
      <c r="G99">
        <v>422.5</v>
      </c>
      <c r="H99">
        <v>1.3540000000000001</v>
      </c>
    </row>
    <row r="100" spans="1:8" x14ac:dyDescent="0.3">
      <c r="A100">
        <v>100</v>
      </c>
      <c r="B100">
        <v>90</v>
      </c>
      <c r="C100">
        <v>413.82</v>
      </c>
      <c r="D100">
        <v>11.19</v>
      </c>
      <c r="E100">
        <v>1.2</v>
      </c>
      <c r="F100">
        <v>423.6</v>
      </c>
      <c r="G100">
        <v>424.8</v>
      </c>
      <c r="H100">
        <v>1.3160000000000001</v>
      </c>
    </row>
    <row r="101" spans="1:8" x14ac:dyDescent="0.3">
      <c r="A101">
        <v>100</v>
      </c>
      <c r="B101">
        <v>100</v>
      </c>
      <c r="C101">
        <v>417.64</v>
      </c>
      <c r="D101">
        <v>43.625</v>
      </c>
      <c r="E101">
        <v>1.2</v>
      </c>
      <c r="F101">
        <v>425.9</v>
      </c>
      <c r="G101">
        <v>427.1</v>
      </c>
      <c r="H101">
        <v>1.2849999999999999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4922A-523C-48C5-B4BB-881D156E94B1}">
  <dimension ref="A1:H101"/>
  <sheetViews>
    <sheetView zoomScale="43" workbookViewId="0">
      <selection sqref="A1:H1048576"/>
    </sheetView>
  </sheetViews>
  <sheetFormatPr defaultRowHeight="14.4" x14ac:dyDescent="0.3"/>
  <cols>
    <col min="3" max="3" width="17.44140625" bestFit="1" customWidth="1"/>
    <col min="4" max="4" width="16.88671875" bestFit="1" customWidth="1"/>
    <col min="5" max="5" width="19" bestFit="1" customWidth="1"/>
    <col min="6" max="6" width="15.33203125" bestFit="1" customWidth="1"/>
    <col min="7" max="7" width="14.33203125" bestFit="1" customWidth="1"/>
    <col min="8" max="8" width="12.21875" customWidth="1"/>
  </cols>
  <sheetData>
    <row r="1" spans="1:8" x14ac:dyDescent="0.3">
      <c r="A1" t="s">
        <v>16</v>
      </c>
      <c r="B1" t="s">
        <v>17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14</v>
      </c>
    </row>
    <row r="2" spans="1:8" x14ac:dyDescent="0.3">
      <c r="A2">
        <v>10</v>
      </c>
      <c r="B2">
        <v>10</v>
      </c>
      <c r="C2">
        <v>1161.2</v>
      </c>
      <c r="D2">
        <v>3.44</v>
      </c>
      <c r="E2">
        <v>9.3000000000000007</v>
      </c>
      <c r="F2">
        <v>4.9000000000000004</v>
      </c>
      <c r="G2">
        <v>14.2</v>
      </c>
      <c r="H2">
        <v>9.6359999999999992</v>
      </c>
    </row>
    <row r="3" spans="1:8" x14ac:dyDescent="0.3">
      <c r="A3">
        <v>10</v>
      </c>
      <c r="B3">
        <v>20</v>
      </c>
      <c r="C3">
        <v>1131.67</v>
      </c>
      <c r="D3">
        <v>3.9049999999999998</v>
      </c>
      <c r="E3">
        <v>9.1</v>
      </c>
      <c r="F3">
        <v>15.4</v>
      </c>
      <c r="G3">
        <v>24.5</v>
      </c>
      <c r="H3">
        <v>9.1379999999999999</v>
      </c>
    </row>
    <row r="4" spans="1:8" x14ac:dyDescent="0.3">
      <c r="A4">
        <v>10</v>
      </c>
      <c r="B4">
        <v>30</v>
      </c>
      <c r="C4">
        <v>1117.345</v>
      </c>
      <c r="D4">
        <v>4.6449999999999996</v>
      </c>
      <c r="E4">
        <v>8.9</v>
      </c>
      <c r="F4">
        <v>25.6</v>
      </c>
      <c r="G4">
        <v>34.5</v>
      </c>
      <c r="H4">
        <v>8.9700000000000006</v>
      </c>
    </row>
    <row r="5" spans="1:8" x14ac:dyDescent="0.3">
      <c r="A5">
        <v>10</v>
      </c>
      <c r="B5">
        <v>40</v>
      </c>
      <c r="C5">
        <v>1106.83</v>
      </c>
      <c r="D5">
        <v>4.8150000000000004</v>
      </c>
      <c r="E5">
        <v>8.8000000000000007</v>
      </c>
      <c r="F5">
        <v>35.6</v>
      </c>
      <c r="G5">
        <v>44.4</v>
      </c>
      <c r="H5">
        <v>8.8870000000000005</v>
      </c>
    </row>
    <row r="6" spans="1:8" x14ac:dyDescent="0.3">
      <c r="A6">
        <v>10</v>
      </c>
      <c r="B6">
        <v>50</v>
      </c>
      <c r="C6">
        <v>1098.8699999999999</v>
      </c>
      <c r="D6">
        <v>4.4349999999999996</v>
      </c>
      <c r="E6">
        <v>8.8000000000000007</v>
      </c>
      <c r="F6">
        <v>45.5</v>
      </c>
      <c r="G6">
        <v>54.3</v>
      </c>
      <c r="H6">
        <v>8.8369999999999997</v>
      </c>
    </row>
    <row r="7" spans="1:8" x14ac:dyDescent="0.3">
      <c r="A7">
        <v>10</v>
      </c>
      <c r="B7">
        <v>60</v>
      </c>
      <c r="C7">
        <v>1089.2149999999999</v>
      </c>
      <c r="D7">
        <v>3.5950000000000002</v>
      </c>
      <c r="E7">
        <v>8.6999999999999993</v>
      </c>
      <c r="F7">
        <v>55.3</v>
      </c>
      <c r="G7">
        <v>64</v>
      </c>
      <c r="H7">
        <v>8.8000000000000007</v>
      </c>
    </row>
    <row r="8" spans="1:8" x14ac:dyDescent="0.3">
      <c r="A8">
        <v>10</v>
      </c>
      <c r="B8">
        <v>70</v>
      </c>
      <c r="C8">
        <v>1098.0899999999999</v>
      </c>
      <c r="D8">
        <v>4.665</v>
      </c>
      <c r="E8">
        <v>8.8000000000000007</v>
      </c>
      <c r="F8">
        <v>65</v>
      </c>
      <c r="G8">
        <v>73.8</v>
      </c>
      <c r="H8">
        <v>8.7799999999999994</v>
      </c>
    </row>
    <row r="9" spans="1:8" x14ac:dyDescent="0.3">
      <c r="A9">
        <v>10</v>
      </c>
      <c r="B9">
        <v>80</v>
      </c>
      <c r="C9">
        <v>1096.825</v>
      </c>
      <c r="D9">
        <v>3.58</v>
      </c>
      <c r="E9">
        <v>8.8000000000000007</v>
      </c>
      <c r="F9">
        <v>74.900000000000006</v>
      </c>
      <c r="G9">
        <v>83.7</v>
      </c>
      <c r="H9">
        <v>8.766</v>
      </c>
    </row>
    <row r="10" spans="1:8" x14ac:dyDescent="0.3">
      <c r="A10">
        <v>10</v>
      </c>
      <c r="B10">
        <v>90</v>
      </c>
      <c r="C10">
        <v>1097.115</v>
      </c>
      <c r="D10">
        <v>3.855</v>
      </c>
      <c r="E10">
        <v>8.8000000000000007</v>
      </c>
      <c r="F10">
        <v>84.6</v>
      </c>
      <c r="G10">
        <v>93.4</v>
      </c>
      <c r="H10">
        <v>8.7539999999999996</v>
      </c>
    </row>
    <row r="11" spans="1:8" x14ac:dyDescent="0.3">
      <c r="A11">
        <v>10</v>
      </c>
      <c r="B11">
        <v>100</v>
      </c>
      <c r="C11">
        <v>1099.18</v>
      </c>
      <c r="D11">
        <v>4.8849999999999998</v>
      </c>
      <c r="E11">
        <v>8.8000000000000007</v>
      </c>
      <c r="F11">
        <v>94.4</v>
      </c>
      <c r="G11">
        <v>103.2</v>
      </c>
      <c r="H11">
        <v>8.7460000000000004</v>
      </c>
    </row>
    <row r="12" spans="1:8" x14ac:dyDescent="0.3">
      <c r="A12">
        <v>20</v>
      </c>
      <c r="B12">
        <v>10</v>
      </c>
      <c r="C12">
        <v>795.72</v>
      </c>
      <c r="D12">
        <v>4.49</v>
      </c>
      <c r="E12">
        <v>5.4</v>
      </c>
      <c r="F12">
        <v>104.3</v>
      </c>
      <c r="G12">
        <v>109.7</v>
      </c>
      <c r="H12">
        <v>5.7610000000000001</v>
      </c>
    </row>
    <row r="13" spans="1:8" x14ac:dyDescent="0.3">
      <c r="A13">
        <v>20</v>
      </c>
      <c r="B13">
        <v>20</v>
      </c>
      <c r="C13">
        <v>743.82</v>
      </c>
      <c r="D13">
        <v>4.3049999999999997</v>
      </c>
      <c r="E13">
        <v>4.9000000000000004</v>
      </c>
      <c r="F13">
        <v>111</v>
      </c>
      <c r="G13">
        <v>115.9</v>
      </c>
      <c r="H13">
        <v>5.0599999999999996</v>
      </c>
    </row>
    <row r="14" spans="1:8" x14ac:dyDescent="0.3">
      <c r="A14">
        <v>20</v>
      </c>
      <c r="B14">
        <v>30</v>
      </c>
      <c r="C14">
        <v>731.23500000000001</v>
      </c>
      <c r="D14">
        <v>5.05</v>
      </c>
      <c r="E14">
        <v>4.8</v>
      </c>
      <c r="F14">
        <v>117</v>
      </c>
      <c r="G14">
        <v>121.8</v>
      </c>
      <c r="H14">
        <v>4.8220000000000001</v>
      </c>
    </row>
    <row r="15" spans="1:8" x14ac:dyDescent="0.3">
      <c r="A15">
        <v>20</v>
      </c>
      <c r="B15">
        <v>40</v>
      </c>
      <c r="C15">
        <v>706</v>
      </c>
      <c r="D15">
        <v>4.25</v>
      </c>
      <c r="E15">
        <v>4.5999999999999996</v>
      </c>
      <c r="F15">
        <v>122.9</v>
      </c>
      <c r="G15">
        <v>127.5</v>
      </c>
      <c r="H15">
        <v>4.7039999999999997</v>
      </c>
    </row>
    <row r="16" spans="1:8" x14ac:dyDescent="0.3">
      <c r="A16">
        <v>20</v>
      </c>
      <c r="B16">
        <v>50</v>
      </c>
      <c r="C16">
        <v>716.48500000000001</v>
      </c>
      <c r="D16">
        <v>4.4400000000000004</v>
      </c>
      <c r="E16">
        <v>4.7</v>
      </c>
      <c r="F16">
        <v>128.5</v>
      </c>
      <c r="G16">
        <v>133.19999999999999</v>
      </c>
      <c r="H16">
        <v>4.6319999999999997</v>
      </c>
    </row>
    <row r="17" spans="1:8" x14ac:dyDescent="0.3">
      <c r="A17">
        <v>20</v>
      </c>
      <c r="B17">
        <v>60</v>
      </c>
      <c r="C17">
        <v>707.75</v>
      </c>
      <c r="D17">
        <v>4.6500000000000004</v>
      </c>
      <c r="E17">
        <v>4.5999999999999996</v>
      </c>
      <c r="F17">
        <v>134.19999999999999</v>
      </c>
      <c r="G17">
        <v>138.80000000000001</v>
      </c>
      <c r="H17">
        <v>4.593</v>
      </c>
    </row>
    <row r="18" spans="1:8" x14ac:dyDescent="0.3">
      <c r="A18">
        <v>20</v>
      </c>
      <c r="B18">
        <v>70</v>
      </c>
      <c r="C18">
        <v>706.245</v>
      </c>
      <c r="D18">
        <v>3.8450000000000002</v>
      </c>
      <c r="E18">
        <v>4.5999999999999996</v>
      </c>
      <c r="F18">
        <v>139.80000000000001</v>
      </c>
      <c r="G18">
        <v>144.4</v>
      </c>
      <c r="H18">
        <v>4.5620000000000003</v>
      </c>
    </row>
    <row r="19" spans="1:8" x14ac:dyDescent="0.3">
      <c r="A19">
        <v>20</v>
      </c>
      <c r="B19">
        <v>80</v>
      </c>
      <c r="C19">
        <v>708.46500000000003</v>
      </c>
      <c r="D19">
        <v>4.0149999999999997</v>
      </c>
      <c r="E19">
        <v>4.5999999999999996</v>
      </c>
      <c r="F19">
        <v>145.30000000000001</v>
      </c>
      <c r="G19">
        <v>149.9</v>
      </c>
      <c r="H19">
        <v>4.54</v>
      </c>
    </row>
    <row r="20" spans="1:8" x14ac:dyDescent="0.3">
      <c r="A20">
        <v>20</v>
      </c>
      <c r="B20">
        <v>90</v>
      </c>
      <c r="C20">
        <v>704.01499999999999</v>
      </c>
      <c r="D20">
        <v>3.645</v>
      </c>
      <c r="E20">
        <v>4.5999999999999996</v>
      </c>
      <c r="F20">
        <v>150.9</v>
      </c>
      <c r="G20">
        <v>155.5</v>
      </c>
      <c r="H20">
        <v>4.5279999999999996</v>
      </c>
    </row>
    <row r="21" spans="1:8" x14ac:dyDescent="0.3">
      <c r="A21">
        <v>20</v>
      </c>
      <c r="B21">
        <v>100</v>
      </c>
      <c r="C21">
        <v>704.7</v>
      </c>
      <c r="D21">
        <v>4.93</v>
      </c>
      <c r="E21">
        <v>4.5999999999999996</v>
      </c>
      <c r="F21">
        <v>156.4</v>
      </c>
      <c r="G21">
        <v>161</v>
      </c>
      <c r="H21">
        <v>4.5170000000000003</v>
      </c>
    </row>
    <row r="22" spans="1:8" x14ac:dyDescent="0.3">
      <c r="A22">
        <v>30</v>
      </c>
      <c r="B22">
        <v>10</v>
      </c>
      <c r="C22">
        <v>700.55499999999995</v>
      </c>
      <c r="D22">
        <v>4.8099999999999996</v>
      </c>
      <c r="E22">
        <v>4.4000000000000004</v>
      </c>
      <c r="F22">
        <v>162.1</v>
      </c>
      <c r="G22">
        <v>166.5</v>
      </c>
      <c r="H22">
        <v>4.6509999999999998</v>
      </c>
    </row>
    <row r="23" spans="1:8" x14ac:dyDescent="0.3">
      <c r="A23">
        <v>30</v>
      </c>
      <c r="B23">
        <v>20</v>
      </c>
      <c r="C23">
        <v>637.245</v>
      </c>
      <c r="D23">
        <v>4.68</v>
      </c>
      <c r="E23">
        <v>3.7</v>
      </c>
      <c r="F23">
        <v>167.7</v>
      </c>
      <c r="G23">
        <v>171.4</v>
      </c>
      <c r="H23">
        <v>3.7850000000000001</v>
      </c>
    </row>
    <row r="24" spans="1:8" x14ac:dyDescent="0.3">
      <c r="A24">
        <v>30</v>
      </c>
      <c r="B24">
        <v>30</v>
      </c>
      <c r="C24">
        <v>602.13</v>
      </c>
      <c r="D24">
        <v>4.84</v>
      </c>
      <c r="E24">
        <v>3.4</v>
      </c>
      <c r="F24">
        <v>172.5</v>
      </c>
      <c r="G24">
        <v>175.9</v>
      </c>
      <c r="H24">
        <v>3.4969999999999999</v>
      </c>
    </row>
    <row r="25" spans="1:8" x14ac:dyDescent="0.3">
      <c r="A25">
        <v>30</v>
      </c>
      <c r="B25">
        <v>40</v>
      </c>
      <c r="C25">
        <v>603.11500000000001</v>
      </c>
      <c r="D25">
        <v>4.49</v>
      </c>
      <c r="E25">
        <v>3.3</v>
      </c>
      <c r="F25">
        <v>177</v>
      </c>
      <c r="G25">
        <v>180.3</v>
      </c>
      <c r="H25">
        <v>3.3540000000000001</v>
      </c>
    </row>
    <row r="26" spans="1:8" x14ac:dyDescent="0.3">
      <c r="A26">
        <v>30</v>
      </c>
      <c r="B26">
        <v>50</v>
      </c>
      <c r="C26">
        <v>593.73</v>
      </c>
      <c r="D26">
        <v>4.3550000000000004</v>
      </c>
      <c r="E26">
        <v>3.3</v>
      </c>
      <c r="F26">
        <v>181.3</v>
      </c>
      <c r="G26">
        <v>184.6</v>
      </c>
      <c r="H26">
        <v>3.2690000000000001</v>
      </c>
    </row>
    <row r="27" spans="1:8" x14ac:dyDescent="0.3">
      <c r="A27">
        <v>30</v>
      </c>
      <c r="B27">
        <v>60</v>
      </c>
      <c r="C27">
        <v>577.1</v>
      </c>
      <c r="D27">
        <v>4.3949999999999996</v>
      </c>
      <c r="E27">
        <v>3.2</v>
      </c>
      <c r="F27">
        <v>185.6</v>
      </c>
      <c r="G27">
        <v>188.8</v>
      </c>
      <c r="H27">
        <v>3.22</v>
      </c>
    </row>
    <row r="28" spans="1:8" x14ac:dyDescent="0.3">
      <c r="A28">
        <v>30</v>
      </c>
      <c r="B28">
        <v>70</v>
      </c>
      <c r="C28">
        <v>592.04</v>
      </c>
      <c r="D28">
        <v>4.3449999999999998</v>
      </c>
      <c r="E28">
        <v>3.2</v>
      </c>
      <c r="F28">
        <v>189.8</v>
      </c>
      <c r="G28">
        <v>193</v>
      </c>
      <c r="H28">
        <v>3.1840000000000002</v>
      </c>
    </row>
    <row r="29" spans="1:8" x14ac:dyDescent="0.3">
      <c r="A29">
        <v>30</v>
      </c>
      <c r="B29">
        <v>80</v>
      </c>
      <c r="C29">
        <v>573.755</v>
      </c>
      <c r="D29">
        <v>4.42</v>
      </c>
      <c r="E29">
        <v>3.2</v>
      </c>
      <c r="F29">
        <v>194</v>
      </c>
      <c r="G29">
        <v>197.2</v>
      </c>
      <c r="H29">
        <v>3.1629999999999998</v>
      </c>
    </row>
    <row r="30" spans="1:8" x14ac:dyDescent="0.3">
      <c r="A30">
        <v>30</v>
      </c>
      <c r="B30">
        <v>90</v>
      </c>
      <c r="C30">
        <v>594.4</v>
      </c>
      <c r="D30">
        <v>3.9750000000000001</v>
      </c>
      <c r="E30">
        <v>3.2</v>
      </c>
      <c r="F30">
        <v>198.2</v>
      </c>
      <c r="G30">
        <v>201.4</v>
      </c>
      <c r="H30">
        <v>3.1429999999999998</v>
      </c>
    </row>
    <row r="31" spans="1:8" x14ac:dyDescent="0.3">
      <c r="A31">
        <v>30</v>
      </c>
      <c r="B31">
        <v>100</v>
      </c>
      <c r="C31">
        <v>564.87</v>
      </c>
      <c r="D31">
        <v>5.2549999999999999</v>
      </c>
      <c r="E31">
        <v>3.1</v>
      </c>
      <c r="F31">
        <v>202.3</v>
      </c>
      <c r="G31">
        <v>205.4</v>
      </c>
      <c r="H31">
        <v>3.1320000000000001</v>
      </c>
    </row>
    <row r="32" spans="1:8" x14ac:dyDescent="0.3">
      <c r="A32">
        <v>40</v>
      </c>
      <c r="B32">
        <v>10</v>
      </c>
      <c r="C32">
        <v>648.91499999999996</v>
      </c>
      <c r="D32">
        <v>4.7850000000000001</v>
      </c>
      <c r="E32">
        <v>3.9</v>
      </c>
      <c r="F32">
        <v>206.6</v>
      </c>
      <c r="G32">
        <v>210.5</v>
      </c>
      <c r="H32">
        <v>4.2130000000000001</v>
      </c>
    </row>
    <row r="33" spans="1:8" x14ac:dyDescent="0.3">
      <c r="A33">
        <v>40</v>
      </c>
      <c r="B33">
        <v>20</v>
      </c>
      <c r="C33">
        <v>584.44000000000005</v>
      </c>
      <c r="D33">
        <v>4.32</v>
      </c>
      <c r="E33">
        <v>3.1</v>
      </c>
      <c r="F33">
        <v>211.8</v>
      </c>
      <c r="G33">
        <v>214.9</v>
      </c>
      <c r="H33">
        <v>3.2090000000000001</v>
      </c>
    </row>
    <row r="34" spans="1:8" x14ac:dyDescent="0.3">
      <c r="A34">
        <v>40</v>
      </c>
      <c r="B34">
        <v>30</v>
      </c>
      <c r="C34">
        <v>559.29999999999995</v>
      </c>
      <c r="D34">
        <v>4.2549999999999999</v>
      </c>
      <c r="E34">
        <v>2.8</v>
      </c>
      <c r="F34">
        <v>216</v>
      </c>
      <c r="G34">
        <v>218.8</v>
      </c>
      <c r="H34">
        <v>2.8759999999999999</v>
      </c>
    </row>
    <row r="35" spans="1:8" x14ac:dyDescent="0.3">
      <c r="A35">
        <v>40</v>
      </c>
      <c r="B35">
        <v>40</v>
      </c>
      <c r="C35">
        <v>552.22500000000002</v>
      </c>
      <c r="D35">
        <v>4.7549999999999999</v>
      </c>
      <c r="E35">
        <v>2.7</v>
      </c>
      <c r="F35">
        <v>219.8</v>
      </c>
      <c r="G35">
        <v>222.5</v>
      </c>
      <c r="H35">
        <v>2.7050000000000001</v>
      </c>
    </row>
    <row r="36" spans="1:8" x14ac:dyDescent="0.3">
      <c r="A36">
        <v>40</v>
      </c>
      <c r="B36">
        <v>50</v>
      </c>
      <c r="C36">
        <v>537.17499999999995</v>
      </c>
      <c r="D36">
        <v>4.37</v>
      </c>
      <c r="E36">
        <v>2.5</v>
      </c>
      <c r="F36">
        <v>223.6</v>
      </c>
      <c r="G36">
        <v>226.1</v>
      </c>
      <c r="H36">
        <v>2.6120000000000001</v>
      </c>
    </row>
    <row r="37" spans="1:8" x14ac:dyDescent="0.3">
      <c r="A37">
        <v>40</v>
      </c>
      <c r="B37">
        <v>60</v>
      </c>
      <c r="C37">
        <v>557.55499999999995</v>
      </c>
      <c r="D37">
        <v>4.2300000000000004</v>
      </c>
      <c r="E37">
        <v>2.6</v>
      </c>
      <c r="F37">
        <v>227.1</v>
      </c>
      <c r="G37">
        <v>229.7</v>
      </c>
      <c r="H37">
        <v>2.5499999999999998</v>
      </c>
    </row>
    <row r="38" spans="1:8" x14ac:dyDescent="0.3">
      <c r="A38">
        <v>40</v>
      </c>
      <c r="B38">
        <v>70</v>
      </c>
      <c r="C38">
        <v>557.69000000000005</v>
      </c>
      <c r="D38">
        <v>5</v>
      </c>
      <c r="E38">
        <v>2.5</v>
      </c>
      <c r="F38">
        <v>230.7</v>
      </c>
      <c r="G38">
        <v>233.2</v>
      </c>
      <c r="H38">
        <v>2.5099999999999998</v>
      </c>
    </row>
    <row r="39" spans="1:8" x14ac:dyDescent="0.3">
      <c r="A39">
        <v>40</v>
      </c>
      <c r="B39">
        <v>80</v>
      </c>
      <c r="C39">
        <v>527.54499999999996</v>
      </c>
      <c r="D39">
        <v>4.4550000000000001</v>
      </c>
      <c r="E39">
        <v>2.4</v>
      </c>
      <c r="F39">
        <v>234.3</v>
      </c>
      <c r="G39">
        <v>236.7</v>
      </c>
      <c r="H39">
        <v>2.4820000000000002</v>
      </c>
    </row>
    <row r="40" spans="1:8" x14ac:dyDescent="0.3">
      <c r="A40">
        <v>40</v>
      </c>
      <c r="B40">
        <v>90</v>
      </c>
      <c r="C40">
        <v>528.10500000000002</v>
      </c>
      <c r="D40">
        <v>3.45</v>
      </c>
      <c r="E40">
        <v>2.5</v>
      </c>
      <c r="F40">
        <v>237.7</v>
      </c>
      <c r="G40">
        <v>240.2</v>
      </c>
      <c r="H40">
        <v>2.464</v>
      </c>
    </row>
    <row r="41" spans="1:8" x14ac:dyDescent="0.3">
      <c r="A41">
        <v>40</v>
      </c>
      <c r="B41">
        <v>100</v>
      </c>
      <c r="C41">
        <v>537.98500000000001</v>
      </c>
      <c r="D41">
        <v>3.5350000000000001</v>
      </c>
      <c r="E41">
        <v>2.4</v>
      </c>
      <c r="F41">
        <v>241.2</v>
      </c>
      <c r="G41">
        <v>243.6</v>
      </c>
      <c r="H41">
        <v>2.4470000000000001</v>
      </c>
    </row>
    <row r="42" spans="1:8" x14ac:dyDescent="0.3">
      <c r="A42">
        <v>50</v>
      </c>
      <c r="B42">
        <v>10</v>
      </c>
      <c r="C42">
        <v>653.01499999999999</v>
      </c>
      <c r="D42">
        <v>3.92</v>
      </c>
      <c r="E42">
        <v>3.8</v>
      </c>
      <c r="F42">
        <v>244.7</v>
      </c>
      <c r="G42">
        <v>248.5</v>
      </c>
      <c r="H42">
        <v>3.9780000000000002</v>
      </c>
    </row>
    <row r="43" spans="1:8" x14ac:dyDescent="0.3">
      <c r="A43">
        <v>50</v>
      </c>
      <c r="B43">
        <v>20</v>
      </c>
      <c r="C43">
        <v>569.06500000000005</v>
      </c>
      <c r="D43">
        <v>3.9950000000000001</v>
      </c>
      <c r="E43">
        <v>2.8</v>
      </c>
      <c r="F43">
        <v>249.7</v>
      </c>
      <c r="G43">
        <v>252.5</v>
      </c>
      <c r="H43">
        <v>2.899</v>
      </c>
    </row>
    <row r="44" spans="1:8" x14ac:dyDescent="0.3">
      <c r="A44">
        <v>50</v>
      </c>
      <c r="B44">
        <v>30</v>
      </c>
      <c r="C44">
        <v>552.21500000000003</v>
      </c>
      <c r="D44">
        <v>4.09</v>
      </c>
      <c r="E44">
        <v>2.5</v>
      </c>
      <c r="F44">
        <v>253.6</v>
      </c>
      <c r="G44">
        <v>256.10000000000002</v>
      </c>
      <c r="H44">
        <v>2.5259999999999998</v>
      </c>
    </row>
    <row r="45" spans="1:8" x14ac:dyDescent="0.3">
      <c r="A45">
        <v>50</v>
      </c>
      <c r="B45">
        <v>40</v>
      </c>
      <c r="C45">
        <v>543.495</v>
      </c>
      <c r="D45">
        <v>4.41</v>
      </c>
      <c r="E45">
        <v>2.4</v>
      </c>
      <c r="F45">
        <v>257.10000000000002</v>
      </c>
      <c r="G45">
        <v>259.5</v>
      </c>
      <c r="H45">
        <v>2.3380000000000001</v>
      </c>
    </row>
    <row r="46" spans="1:8" x14ac:dyDescent="0.3">
      <c r="A46">
        <v>50</v>
      </c>
      <c r="B46">
        <v>50</v>
      </c>
      <c r="C46">
        <v>505.92</v>
      </c>
      <c r="D46">
        <v>5.01</v>
      </c>
      <c r="E46">
        <v>2.1</v>
      </c>
      <c r="F46">
        <v>260.5</v>
      </c>
      <c r="G46">
        <v>262.60000000000002</v>
      </c>
      <c r="H46">
        <v>2.2320000000000002</v>
      </c>
    </row>
    <row r="47" spans="1:8" x14ac:dyDescent="0.3">
      <c r="A47">
        <v>50</v>
      </c>
      <c r="B47">
        <v>60</v>
      </c>
      <c r="C47">
        <v>509.3</v>
      </c>
      <c r="D47">
        <v>4.7949999999999999</v>
      </c>
      <c r="E47">
        <v>2.1</v>
      </c>
      <c r="F47">
        <v>263.7</v>
      </c>
      <c r="G47">
        <v>265.8</v>
      </c>
      <c r="H47">
        <v>2.165</v>
      </c>
    </row>
    <row r="48" spans="1:8" x14ac:dyDescent="0.3">
      <c r="A48">
        <v>50</v>
      </c>
      <c r="B48">
        <v>70</v>
      </c>
      <c r="C48">
        <v>510.11</v>
      </c>
      <c r="D48">
        <v>4.0199999999999996</v>
      </c>
      <c r="E48">
        <v>2.1</v>
      </c>
      <c r="F48">
        <v>266.89999999999998</v>
      </c>
      <c r="G48">
        <v>269</v>
      </c>
      <c r="H48">
        <v>2.1190000000000002</v>
      </c>
    </row>
    <row r="49" spans="1:8" x14ac:dyDescent="0.3">
      <c r="A49">
        <v>50</v>
      </c>
      <c r="B49">
        <v>80</v>
      </c>
      <c r="C49">
        <v>512.09</v>
      </c>
      <c r="D49">
        <v>4.3550000000000004</v>
      </c>
      <c r="E49">
        <v>2.1</v>
      </c>
      <c r="F49">
        <v>270</v>
      </c>
      <c r="G49">
        <v>272.10000000000002</v>
      </c>
      <c r="H49">
        <v>2.09</v>
      </c>
    </row>
    <row r="50" spans="1:8" x14ac:dyDescent="0.3">
      <c r="A50">
        <v>50</v>
      </c>
      <c r="B50">
        <v>90</v>
      </c>
      <c r="C50">
        <v>507.96</v>
      </c>
      <c r="D50">
        <v>4.335</v>
      </c>
      <c r="E50">
        <v>2</v>
      </c>
      <c r="F50">
        <v>273.10000000000002</v>
      </c>
      <c r="G50">
        <v>275.10000000000002</v>
      </c>
      <c r="H50">
        <v>2.0640000000000001</v>
      </c>
    </row>
    <row r="51" spans="1:8" x14ac:dyDescent="0.3">
      <c r="A51">
        <v>50</v>
      </c>
      <c r="B51">
        <v>100</v>
      </c>
      <c r="C51">
        <v>498.59</v>
      </c>
      <c r="D51">
        <v>5.5</v>
      </c>
      <c r="E51">
        <v>2</v>
      </c>
      <c r="F51">
        <v>276.10000000000002</v>
      </c>
      <c r="G51">
        <v>278.10000000000002</v>
      </c>
      <c r="H51">
        <v>2.0470000000000002</v>
      </c>
    </row>
    <row r="52" spans="1:8" x14ac:dyDescent="0.3">
      <c r="A52">
        <v>60</v>
      </c>
      <c r="B52">
        <v>10</v>
      </c>
      <c r="C52">
        <v>623.23500000000001</v>
      </c>
      <c r="D52">
        <v>4.67</v>
      </c>
      <c r="E52">
        <v>3.6</v>
      </c>
      <c r="F52">
        <v>279.3</v>
      </c>
      <c r="G52">
        <v>282.89999999999998</v>
      </c>
      <c r="H52">
        <v>3.8010000000000002</v>
      </c>
    </row>
    <row r="53" spans="1:8" x14ac:dyDescent="0.3">
      <c r="A53">
        <v>60</v>
      </c>
      <c r="B53">
        <v>20</v>
      </c>
      <c r="C53">
        <v>561.73500000000001</v>
      </c>
      <c r="D53">
        <v>4.9450000000000003</v>
      </c>
      <c r="E53">
        <v>2.6</v>
      </c>
      <c r="F53">
        <v>284.10000000000002</v>
      </c>
      <c r="G53">
        <v>286.7</v>
      </c>
      <c r="H53">
        <v>2.7160000000000002</v>
      </c>
    </row>
    <row r="54" spans="1:8" x14ac:dyDescent="0.3">
      <c r="A54">
        <v>60</v>
      </c>
      <c r="B54">
        <v>30</v>
      </c>
      <c r="C54">
        <v>528.82000000000005</v>
      </c>
      <c r="D54">
        <v>5.0750000000000002</v>
      </c>
      <c r="E54">
        <v>2.2000000000000002</v>
      </c>
      <c r="F54">
        <v>287.8</v>
      </c>
      <c r="G54">
        <v>290</v>
      </c>
      <c r="H54">
        <v>2.3109999999999999</v>
      </c>
    </row>
    <row r="55" spans="1:8" x14ac:dyDescent="0.3">
      <c r="A55">
        <v>60</v>
      </c>
      <c r="B55">
        <v>40</v>
      </c>
      <c r="C55">
        <v>513.88499999999999</v>
      </c>
      <c r="D55">
        <v>4.5650000000000004</v>
      </c>
      <c r="E55">
        <v>2.1</v>
      </c>
      <c r="F55">
        <v>291.10000000000002</v>
      </c>
      <c r="G55">
        <v>293.2</v>
      </c>
      <c r="H55">
        <v>2.105</v>
      </c>
    </row>
    <row r="56" spans="1:8" x14ac:dyDescent="0.3">
      <c r="A56">
        <v>60</v>
      </c>
      <c r="B56">
        <v>50</v>
      </c>
      <c r="C56">
        <v>522.74</v>
      </c>
      <c r="D56">
        <v>4.0999999999999996</v>
      </c>
      <c r="E56">
        <v>2</v>
      </c>
      <c r="F56">
        <v>294.2</v>
      </c>
      <c r="G56">
        <v>296.2</v>
      </c>
      <c r="H56">
        <v>1.9930000000000001</v>
      </c>
    </row>
    <row r="57" spans="1:8" x14ac:dyDescent="0.3">
      <c r="A57">
        <v>60</v>
      </c>
      <c r="B57">
        <v>60</v>
      </c>
      <c r="C57">
        <v>485.98</v>
      </c>
      <c r="D57">
        <v>4.2</v>
      </c>
      <c r="E57">
        <v>1.9</v>
      </c>
      <c r="F57">
        <v>297.2</v>
      </c>
      <c r="G57">
        <v>299.10000000000002</v>
      </c>
      <c r="H57">
        <v>1.915</v>
      </c>
    </row>
    <row r="58" spans="1:8" x14ac:dyDescent="0.3">
      <c r="A58">
        <v>60</v>
      </c>
      <c r="B58">
        <v>70</v>
      </c>
      <c r="C58">
        <v>508.76499999999999</v>
      </c>
      <c r="D58">
        <v>4.47</v>
      </c>
      <c r="E58">
        <v>1.8</v>
      </c>
      <c r="F58">
        <v>300.10000000000002</v>
      </c>
      <c r="G58">
        <v>301.89999999999998</v>
      </c>
      <c r="H58">
        <v>1.865</v>
      </c>
    </row>
    <row r="59" spans="1:8" x14ac:dyDescent="0.3">
      <c r="A59">
        <v>60</v>
      </c>
      <c r="B59">
        <v>80</v>
      </c>
      <c r="C59">
        <v>500.48500000000001</v>
      </c>
      <c r="D59">
        <v>4.92</v>
      </c>
      <c r="E59">
        <v>1.7</v>
      </c>
      <c r="F59">
        <v>303</v>
      </c>
      <c r="G59">
        <v>304.7</v>
      </c>
      <c r="H59">
        <v>1.829</v>
      </c>
    </row>
    <row r="60" spans="1:8" x14ac:dyDescent="0.3">
      <c r="A60">
        <v>60</v>
      </c>
      <c r="B60">
        <v>90</v>
      </c>
      <c r="C60">
        <v>497.46</v>
      </c>
      <c r="D60">
        <v>4.49</v>
      </c>
      <c r="E60">
        <v>1.8</v>
      </c>
      <c r="F60">
        <v>305.8</v>
      </c>
      <c r="G60">
        <v>307.60000000000002</v>
      </c>
      <c r="H60">
        <v>1.8029999999999999</v>
      </c>
    </row>
    <row r="61" spans="1:8" x14ac:dyDescent="0.3">
      <c r="A61">
        <v>60</v>
      </c>
      <c r="B61">
        <v>100</v>
      </c>
      <c r="C61">
        <v>493.90499999999997</v>
      </c>
      <c r="D61">
        <v>5.0549999999999997</v>
      </c>
      <c r="E61">
        <v>1.8</v>
      </c>
      <c r="F61">
        <v>308.60000000000002</v>
      </c>
      <c r="G61">
        <v>310.39999999999998</v>
      </c>
      <c r="H61">
        <v>1.7829999999999999</v>
      </c>
    </row>
    <row r="62" spans="1:8" x14ac:dyDescent="0.3">
      <c r="A62">
        <v>70</v>
      </c>
      <c r="B62">
        <v>10</v>
      </c>
      <c r="C62">
        <v>602.77</v>
      </c>
      <c r="D62">
        <v>4.4450000000000003</v>
      </c>
      <c r="E62">
        <v>3.5</v>
      </c>
      <c r="F62">
        <v>311.5</v>
      </c>
      <c r="G62">
        <v>315</v>
      </c>
      <c r="H62">
        <v>3.661</v>
      </c>
    </row>
    <row r="63" spans="1:8" x14ac:dyDescent="0.3">
      <c r="A63">
        <v>70</v>
      </c>
      <c r="B63">
        <v>20</v>
      </c>
      <c r="C63">
        <v>539.745</v>
      </c>
      <c r="D63">
        <v>4.7050000000000001</v>
      </c>
      <c r="E63">
        <v>2.5</v>
      </c>
      <c r="F63">
        <v>316.10000000000002</v>
      </c>
      <c r="G63">
        <v>318.60000000000002</v>
      </c>
      <c r="H63">
        <v>2.6120000000000001</v>
      </c>
    </row>
    <row r="64" spans="1:8" x14ac:dyDescent="0.3">
      <c r="A64">
        <v>70</v>
      </c>
      <c r="B64">
        <v>30</v>
      </c>
      <c r="C64">
        <v>515.53499999999997</v>
      </c>
      <c r="D64">
        <v>4.7050000000000001</v>
      </c>
      <c r="E64">
        <v>2.1</v>
      </c>
      <c r="F64">
        <v>319.7</v>
      </c>
      <c r="G64">
        <v>321.8</v>
      </c>
      <c r="H64">
        <v>2.17</v>
      </c>
    </row>
    <row r="65" spans="1:8" x14ac:dyDescent="0.3">
      <c r="A65">
        <v>70</v>
      </c>
      <c r="B65">
        <v>40</v>
      </c>
      <c r="C65">
        <v>504.125</v>
      </c>
      <c r="D65">
        <v>4.29</v>
      </c>
      <c r="E65">
        <v>2</v>
      </c>
      <c r="F65">
        <v>322.89999999999998</v>
      </c>
      <c r="G65">
        <v>324.89999999999998</v>
      </c>
      <c r="H65">
        <v>1.9490000000000001</v>
      </c>
    </row>
    <row r="66" spans="1:8" x14ac:dyDescent="0.3">
      <c r="A66">
        <v>70</v>
      </c>
      <c r="B66">
        <v>50</v>
      </c>
      <c r="C66">
        <v>461.42</v>
      </c>
      <c r="D66">
        <v>4.5199999999999996</v>
      </c>
      <c r="E66">
        <v>1.8</v>
      </c>
      <c r="F66">
        <v>325.89999999999998</v>
      </c>
      <c r="G66">
        <v>327.7</v>
      </c>
      <c r="H66">
        <v>1.825</v>
      </c>
    </row>
    <row r="67" spans="1:8" x14ac:dyDescent="0.3">
      <c r="A67">
        <v>70</v>
      </c>
      <c r="B67">
        <v>60</v>
      </c>
      <c r="C67">
        <v>486.59500000000003</v>
      </c>
      <c r="D67">
        <v>5.15</v>
      </c>
      <c r="E67">
        <v>1.7</v>
      </c>
      <c r="F67">
        <v>328.7</v>
      </c>
      <c r="G67">
        <v>330.4</v>
      </c>
      <c r="H67">
        <v>1.744</v>
      </c>
    </row>
    <row r="68" spans="1:8" x14ac:dyDescent="0.3">
      <c r="A68">
        <v>70</v>
      </c>
      <c r="B68">
        <v>70</v>
      </c>
      <c r="C68">
        <v>438.08499999999998</v>
      </c>
      <c r="D68">
        <v>4.4850000000000003</v>
      </c>
      <c r="E68">
        <v>1.6</v>
      </c>
      <c r="F68">
        <v>331.5</v>
      </c>
      <c r="G68">
        <v>333.1</v>
      </c>
      <c r="H68">
        <v>1.6910000000000001</v>
      </c>
    </row>
    <row r="69" spans="1:8" x14ac:dyDescent="0.3">
      <c r="A69">
        <v>70</v>
      </c>
      <c r="B69">
        <v>80</v>
      </c>
      <c r="C69">
        <v>463.55</v>
      </c>
      <c r="D69">
        <v>4.6449999999999996</v>
      </c>
      <c r="E69">
        <v>1.6</v>
      </c>
      <c r="F69">
        <v>334.1</v>
      </c>
      <c r="G69">
        <v>335.7</v>
      </c>
      <c r="H69">
        <v>1.651</v>
      </c>
    </row>
    <row r="70" spans="1:8" x14ac:dyDescent="0.3">
      <c r="A70">
        <v>70</v>
      </c>
      <c r="B70">
        <v>90</v>
      </c>
      <c r="C70">
        <v>501.96</v>
      </c>
      <c r="D70">
        <v>4.79</v>
      </c>
      <c r="E70">
        <v>1.6</v>
      </c>
      <c r="F70">
        <v>336.8</v>
      </c>
      <c r="G70">
        <v>338.4</v>
      </c>
      <c r="H70">
        <v>1.621</v>
      </c>
    </row>
    <row r="71" spans="1:8" x14ac:dyDescent="0.3">
      <c r="A71">
        <v>70</v>
      </c>
      <c r="B71">
        <v>100</v>
      </c>
      <c r="C71">
        <v>424.71499999999997</v>
      </c>
      <c r="D71">
        <v>6.19</v>
      </c>
      <c r="E71">
        <v>1.5</v>
      </c>
      <c r="F71">
        <v>339.5</v>
      </c>
      <c r="G71">
        <v>341</v>
      </c>
      <c r="H71">
        <v>1.601</v>
      </c>
    </row>
    <row r="72" spans="1:8" x14ac:dyDescent="0.3">
      <c r="A72">
        <v>80</v>
      </c>
      <c r="B72">
        <v>10</v>
      </c>
      <c r="C72">
        <v>574.44000000000005</v>
      </c>
      <c r="D72">
        <v>4.835</v>
      </c>
      <c r="E72">
        <v>3.3</v>
      </c>
      <c r="F72">
        <v>342.2</v>
      </c>
      <c r="G72">
        <v>345.5</v>
      </c>
      <c r="H72">
        <v>3.5430000000000001</v>
      </c>
    </row>
    <row r="73" spans="1:8" x14ac:dyDescent="0.3">
      <c r="A73">
        <v>80</v>
      </c>
      <c r="B73">
        <v>20</v>
      </c>
      <c r="C73">
        <v>525.45500000000004</v>
      </c>
      <c r="D73">
        <v>4.7850000000000001</v>
      </c>
      <c r="E73">
        <v>2.5</v>
      </c>
      <c r="F73">
        <v>346.7</v>
      </c>
      <c r="G73">
        <v>349.2</v>
      </c>
      <c r="H73">
        <v>2.528</v>
      </c>
    </row>
    <row r="74" spans="1:8" x14ac:dyDescent="0.3">
      <c r="A74">
        <v>80</v>
      </c>
      <c r="B74">
        <v>30</v>
      </c>
      <c r="C74">
        <v>486.685</v>
      </c>
      <c r="D74">
        <v>4.7549999999999999</v>
      </c>
      <c r="E74">
        <v>2</v>
      </c>
      <c r="F74">
        <v>350.2</v>
      </c>
      <c r="G74">
        <v>352.2</v>
      </c>
      <c r="H74">
        <v>2.077</v>
      </c>
    </row>
    <row r="75" spans="1:8" x14ac:dyDescent="0.3">
      <c r="A75">
        <v>80</v>
      </c>
      <c r="B75">
        <v>40</v>
      </c>
      <c r="C75">
        <v>477.3</v>
      </c>
      <c r="D75">
        <v>4.2</v>
      </c>
      <c r="E75">
        <v>1.8</v>
      </c>
      <c r="F75">
        <v>353.3</v>
      </c>
      <c r="G75">
        <v>355.1</v>
      </c>
      <c r="H75">
        <v>1.841</v>
      </c>
    </row>
    <row r="76" spans="1:8" x14ac:dyDescent="0.3">
      <c r="A76">
        <v>80</v>
      </c>
      <c r="B76">
        <v>50</v>
      </c>
      <c r="C76">
        <v>478.34500000000003</v>
      </c>
      <c r="D76">
        <v>4.2949999999999999</v>
      </c>
      <c r="E76">
        <v>1.7</v>
      </c>
      <c r="F76">
        <v>356.1</v>
      </c>
      <c r="G76">
        <v>357.8</v>
      </c>
      <c r="H76">
        <v>1.7090000000000001</v>
      </c>
    </row>
    <row r="77" spans="1:8" x14ac:dyDescent="0.3">
      <c r="A77">
        <v>80</v>
      </c>
      <c r="B77">
        <v>60</v>
      </c>
      <c r="C77">
        <v>433.73500000000001</v>
      </c>
      <c r="D77">
        <v>4.5250000000000004</v>
      </c>
      <c r="E77">
        <v>1.5</v>
      </c>
      <c r="F77">
        <v>358.8</v>
      </c>
      <c r="G77">
        <v>360.3</v>
      </c>
      <c r="H77">
        <v>1.6220000000000001</v>
      </c>
    </row>
    <row r="78" spans="1:8" x14ac:dyDescent="0.3">
      <c r="A78">
        <v>80</v>
      </c>
      <c r="B78">
        <v>70</v>
      </c>
      <c r="C78">
        <v>480.36500000000001</v>
      </c>
      <c r="D78">
        <v>5.05</v>
      </c>
      <c r="E78">
        <v>1.5</v>
      </c>
      <c r="F78">
        <v>361.4</v>
      </c>
      <c r="G78">
        <v>362.9</v>
      </c>
      <c r="H78">
        <v>1.5660000000000001</v>
      </c>
    </row>
    <row r="79" spans="1:8" x14ac:dyDescent="0.3">
      <c r="A79">
        <v>80</v>
      </c>
      <c r="B79">
        <v>80</v>
      </c>
      <c r="C79">
        <v>442.60500000000002</v>
      </c>
      <c r="D79">
        <v>4.375</v>
      </c>
      <c r="E79">
        <v>1.5</v>
      </c>
      <c r="F79">
        <v>364</v>
      </c>
      <c r="G79">
        <v>365.5</v>
      </c>
      <c r="H79">
        <v>1.5209999999999999</v>
      </c>
    </row>
    <row r="80" spans="1:8" x14ac:dyDescent="0.3">
      <c r="A80">
        <v>80</v>
      </c>
      <c r="B80">
        <v>90</v>
      </c>
      <c r="C80">
        <v>471.375</v>
      </c>
      <c r="D80">
        <v>6.85</v>
      </c>
      <c r="E80">
        <v>1.4</v>
      </c>
      <c r="F80">
        <v>366.5</v>
      </c>
      <c r="G80">
        <v>367.9</v>
      </c>
      <c r="H80">
        <v>1.494</v>
      </c>
    </row>
    <row r="81" spans="1:8" x14ac:dyDescent="0.3">
      <c r="A81">
        <v>80</v>
      </c>
      <c r="B81">
        <v>100</v>
      </c>
      <c r="C81">
        <v>482.53</v>
      </c>
      <c r="D81">
        <v>6.02</v>
      </c>
      <c r="E81">
        <v>1.5</v>
      </c>
      <c r="F81">
        <v>369</v>
      </c>
      <c r="G81">
        <v>370.5</v>
      </c>
      <c r="H81">
        <v>1.4670000000000001</v>
      </c>
    </row>
    <row r="82" spans="1:8" x14ac:dyDescent="0.3">
      <c r="A82">
        <v>90</v>
      </c>
      <c r="B82">
        <v>10</v>
      </c>
      <c r="C82">
        <v>559.60500000000002</v>
      </c>
      <c r="D82">
        <v>4.8099999999999996</v>
      </c>
      <c r="E82">
        <v>3.2</v>
      </c>
      <c r="F82">
        <v>371.7</v>
      </c>
      <c r="G82">
        <v>374.9</v>
      </c>
      <c r="H82">
        <v>3.4420000000000002</v>
      </c>
    </row>
    <row r="83" spans="1:8" x14ac:dyDescent="0.3">
      <c r="A83">
        <v>90</v>
      </c>
      <c r="B83">
        <v>20</v>
      </c>
      <c r="C83">
        <v>507.77499999999998</v>
      </c>
      <c r="D83">
        <v>4.6050000000000004</v>
      </c>
      <c r="E83">
        <v>2.2999999999999998</v>
      </c>
      <c r="F83">
        <v>376.1</v>
      </c>
      <c r="G83">
        <v>378.4</v>
      </c>
      <c r="H83">
        <v>2.4540000000000002</v>
      </c>
    </row>
    <row r="84" spans="1:8" x14ac:dyDescent="0.3">
      <c r="A84">
        <v>90</v>
      </c>
      <c r="B84">
        <v>30</v>
      </c>
      <c r="C84">
        <v>460.95499999999998</v>
      </c>
      <c r="D84">
        <v>4.8</v>
      </c>
      <c r="E84">
        <v>1.9</v>
      </c>
      <c r="F84">
        <v>379.5</v>
      </c>
      <c r="G84">
        <v>381.4</v>
      </c>
      <c r="H84">
        <v>2.0129999999999999</v>
      </c>
    </row>
    <row r="85" spans="1:8" x14ac:dyDescent="0.3">
      <c r="A85">
        <v>90</v>
      </c>
      <c r="B85">
        <v>40</v>
      </c>
      <c r="C85">
        <v>458.41</v>
      </c>
      <c r="D85">
        <v>4.3099999999999996</v>
      </c>
      <c r="E85">
        <v>1.7</v>
      </c>
      <c r="F85">
        <v>382.5</v>
      </c>
      <c r="G85">
        <v>384.2</v>
      </c>
      <c r="H85">
        <v>1.7649999999999999</v>
      </c>
    </row>
    <row r="86" spans="1:8" x14ac:dyDescent="0.3">
      <c r="A86">
        <v>90</v>
      </c>
      <c r="B86">
        <v>50</v>
      </c>
      <c r="C86">
        <v>464.565</v>
      </c>
      <c r="D86">
        <v>4.88</v>
      </c>
      <c r="E86">
        <v>1.6</v>
      </c>
      <c r="F86">
        <v>385.2</v>
      </c>
      <c r="G86">
        <v>386.8</v>
      </c>
      <c r="H86">
        <v>1.6259999999999999</v>
      </c>
    </row>
    <row r="87" spans="1:8" x14ac:dyDescent="0.3">
      <c r="A87">
        <v>90</v>
      </c>
      <c r="B87">
        <v>60</v>
      </c>
      <c r="C87">
        <v>429.48500000000001</v>
      </c>
      <c r="D87">
        <v>4.3550000000000004</v>
      </c>
      <c r="E87">
        <v>1.4</v>
      </c>
      <c r="F87">
        <v>387.9</v>
      </c>
      <c r="G87">
        <v>389.3</v>
      </c>
      <c r="H87">
        <v>1.5349999999999999</v>
      </c>
    </row>
    <row r="88" spans="1:8" x14ac:dyDescent="0.3">
      <c r="A88">
        <v>90</v>
      </c>
      <c r="B88">
        <v>70</v>
      </c>
      <c r="C88">
        <v>468.44499999999999</v>
      </c>
      <c r="D88">
        <v>4.9000000000000004</v>
      </c>
      <c r="E88">
        <v>1.4</v>
      </c>
      <c r="F88">
        <v>390.4</v>
      </c>
      <c r="G88">
        <v>391.8</v>
      </c>
      <c r="H88">
        <v>1.4690000000000001</v>
      </c>
    </row>
    <row r="89" spans="1:8" x14ac:dyDescent="0.3">
      <c r="A89">
        <v>90</v>
      </c>
      <c r="B89">
        <v>80</v>
      </c>
      <c r="C89">
        <v>440.83499999999998</v>
      </c>
      <c r="D89">
        <v>6.3150000000000004</v>
      </c>
      <c r="E89">
        <v>1.3</v>
      </c>
      <c r="F89">
        <v>392.9</v>
      </c>
      <c r="G89">
        <v>394.2</v>
      </c>
      <c r="H89">
        <v>1.4239999999999999</v>
      </c>
    </row>
    <row r="90" spans="1:8" x14ac:dyDescent="0.3">
      <c r="A90">
        <v>90</v>
      </c>
      <c r="B90">
        <v>90</v>
      </c>
      <c r="C90">
        <v>437.48</v>
      </c>
      <c r="D90">
        <v>7.95</v>
      </c>
      <c r="E90">
        <v>1.3</v>
      </c>
      <c r="F90">
        <v>395.3</v>
      </c>
      <c r="G90">
        <v>396.6</v>
      </c>
      <c r="H90">
        <v>1.391</v>
      </c>
    </row>
    <row r="91" spans="1:8" x14ac:dyDescent="0.3">
      <c r="A91">
        <v>90</v>
      </c>
      <c r="B91">
        <v>100</v>
      </c>
      <c r="C91">
        <v>438.185</v>
      </c>
      <c r="D91">
        <v>10.01</v>
      </c>
      <c r="E91">
        <v>1.3</v>
      </c>
      <c r="F91">
        <v>397.7</v>
      </c>
      <c r="G91">
        <v>399</v>
      </c>
      <c r="H91">
        <v>1.3680000000000001</v>
      </c>
    </row>
    <row r="92" spans="1:8" x14ac:dyDescent="0.3">
      <c r="A92">
        <v>100</v>
      </c>
      <c r="B92">
        <v>10</v>
      </c>
      <c r="C92">
        <v>554.82000000000005</v>
      </c>
      <c r="D92">
        <v>4.0650000000000004</v>
      </c>
      <c r="E92">
        <v>3.2</v>
      </c>
      <c r="F92">
        <v>400.3</v>
      </c>
      <c r="G92">
        <v>403.5</v>
      </c>
      <c r="H92">
        <v>3.407</v>
      </c>
    </row>
    <row r="93" spans="1:8" x14ac:dyDescent="0.3">
      <c r="A93">
        <v>100</v>
      </c>
      <c r="B93">
        <v>20</v>
      </c>
      <c r="C93">
        <v>498.625</v>
      </c>
      <c r="D93">
        <v>4.9050000000000002</v>
      </c>
      <c r="E93">
        <v>2.2999999999999998</v>
      </c>
      <c r="F93">
        <v>404.6</v>
      </c>
      <c r="G93">
        <v>406.9</v>
      </c>
      <c r="H93">
        <v>2.3889999999999998</v>
      </c>
    </row>
    <row r="94" spans="1:8" x14ac:dyDescent="0.3">
      <c r="A94">
        <v>100</v>
      </c>
      <c r="B94">
        <v>30</v>
      </c>
      <c r="C94">
        <v>499.57499999999999</v>
      </c>
      <c r="D94">
        <v>5.2750000000000004</v>
      </c>
      <c r="E94">
        <v>1.9</v>
      </c>
      <c r="F94">
        <v>408</v>
      </c>
      <c r="G94">
        <v>409.9</v>
      </c>
      <c r="H94">
        <v>1.9650000000000001</v>
      </c>
    </row>
    <row r="95" spans="1:8" x14ac:dyDescent="0.3">
      <c r="A95">
        <v>100</v>
      </c>
      <c r="B95">
        <v>40</v>
      </c>
      <c r="C95">
        <v>470.755</v>
      </c>
      <c r="D95">
        <v>5.1550000000000002</v>
      </c>
      <c r="E95">
        <v>1.6</v>
      </c>
      <c r="F95">
        <v>411</v>
      </c>
      <c r="G95">
        <v>412.6</v>
      </c>
      <c r="H95">
        <v>1.7110000000000001</v>
      </c>
    </row>
    <row r="96" spans="1:8" x14ac:dyDescent="0.3">
      <c r="A96">
        <v>100</v>
      </c>
      <c r="B96">
        <v>50</v>
      </c>
      <c r="C96">
        <v>439.71</v>
      </c>
      <c r="D96">
        <v>4.6100000000000003</v>
      </c>
      <c r="E96">
        <v>1.4</v>
      </c>
      <c r="F96">
        <v>413.7</v>
      </c>
      <c r="G96">
        <v>415.1</v>
      </c>
      <c r="H96">
        <v>1.5629999999999999</v>
      </c>
    </row>
    <row r="97" spans="1:8" x14ac:dyDescent="0.3">
      <c r="A97">
        <v>100</v>
      </c>
      <c r="B97">
        <v>60</v>
      </c>
      <c r="C97">
        <v>466.82499999999999</v>
      </c>
      <c r="D97">
        <v>5.9050000000000002</v>
      </c>
      <c r="E97">
        <v>1.3</v>
      </c>
      <c r="F97">
        <v>416.2</v>
      </c>
      <c r="G97">
        <v>417.5</v>
      </c>
      <c r="H97">
        <v>1.468</v>
      </c>
    </row>
    <row r="98" spans="1:8" x14ac:dyDescent="0.3">
      <c r="A98">
        <v>100</v>
      </c>
      <c r="B98">
        <v>70</v>
      </c>
      <c r="C98">
        <v>421.36</v>
      </c>
      <c r="D98">
        <v>8.3049999999999997</v>
      </c>
      <c r="E98">
        <v>1.2</v>
      </c>
      <c r="F98">
        <v>418.7</v>
      </c>
      <c r="G98">
        <v>419.9</v>
      </c>
      <c r="H98">
        <v>1.395</v>
      </c>
    </row>
    <row r="99" spans="1:8" x14ac:dyDescent="0.3">
      <c r="A99">
        <v>100</v>
      </c>
      <c r="B99">
        <v>80</v>
      </c>
      <c r="C99">
        <v>423.85</v>
      </c>
      <c r="D99">
        <v>8.2850000000000001</v>
      </c>
      <c r="E99">
        <v>1.2</v>
      </c>
      <c r="F99">
        <v>421.1</v>
      </c>
      <c r="G99">
        <v>422.3</v>
      </c>
      <c r="H99">
        <v>1.355</v>
      </c>
    </row>
    <row r="100" spans="1:8" x14ac:dyDescent="0.3">
      <c r="A100">
        <v>100</v>
      </c>
      <c r="B100">
        <v>90</v>
      </c>
      <c r="C100">
        <v>451.47</v>
      </c>
      <c r="D100">
        <v>11.435</v>
      </c>
      <c r="E100">
        <v>1.2</v>
      </c>
      <c r="F100">
        <v>423.4</v>
      </c>
      <c r="G100">
        <v>424.6</v>
      </c>
      <c r="H100">
        <v>1.3169999999999999</v>
      </c>
    </row>
    <row r="101" spans="1:8" x14ac:dyDescent="0.3">
      <c r="A101">
        <v>100</v>
      </c>
      <c r="B101">
        <v>100</v>
      </c>
      <c r="C101">
        <v>447.55</v>
      </c>
      <c r="D101">
        <v>162.67500000000001</v>
      </c>
      <c r="E101">
        <v>1.2</v>
      </c>
      <c r="F101">
        <v>425.8</v>
      </c>
      <c r="G101">
        <v>427</v>
      </c>
      <c r="H101">
        <v>1.2849999999999999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1494D-4CD2-4E7C-8987-9133B8CBC946}">
  <dimension ref="A1:H101"/>
  <sheetViews>
    <sheetView workbookViewId="0">
      <selection sqref="A1:H1048576"/>
    </sheetView>
  </sheetViews>
  <sheetFormatPr defaultRowHeight="14.4" x14ac:dyDescent="0.3"/>
  <cols>
    <col min="3" max="3" width="13.6640625" bestFit="1" customWidth="1"/>
    <col min="4" max="4" width="13.33203125" bestFit="1" customWidth="1"/>
    <col min="5" max="5" width="14.88671875" bestFit="1" customWidth="1"/>
    <col min="6" max="6" width="11.6640625" bestFit="1" customWidth="1"/>
    <col min="7" max="7" width="10.88671875" bestFit="1" customWidth="1"/>
  </cols>
  <sheetData>
    <row r="1" spans="1:8" x14ac:dyDescent="0.3">
      <c r="A1" t="s">
        <v>16</v>
      </c>
      <c r="B1" t="s">
        <v>17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14</v>
      </c>
    </row>
    <row r="2" spans="1:8" x14ac:dyDescent="0.3">
      <c r="A2">
        <v>10</v>
      </c>
      <c r="B2">
        <v>10</v>
      </c>
      <c r="C2">
        <v>1131.8800000000001</v>
      </c>
      <c r="D2">
        <v>4.6849999999999996</v>
      </c>
      <c r="E2">
        <v>9.5</v>
      </c>
      <c r="F2">
        <v>4.2</v>
      </c>
      <c r="G2">
        <v>13.7</v>
      </c>
    </row>
    <row r="3" spans="1:8" x14ac:dyDescent="0.3">
      <c r="A3">
        <v>10</v>
      </c>
      <c r="B3">
        <v>20</v>
      </c>
      <c r="C3">
        <v>1079.175</v>
      </c>
      <c r="D3">
        <v>4.88</v>
      </c>
      <c r="E3">
        <v>8.9</v>
      </c>
      <c r="F3">
        <v>14.9</v>
      </c>
      <c r="G3">
        <v>23.8</v>
      </c>
    </row>
    <row r="4" spans="1:8" x14ac:dyDescent="0.3">
      <c r="A4">
        <v>10</v>
      </c>
      <c r="B4">
        <v>30</v>
      </c>
      <c r="C4">
        <v>1078.67</v>
      </c>
      <c r="D4">
        <v>4.83</v>
      </c>
      <c r="E4">
        <v>8.9</v>
      </c>
      <c r="F4">
        <v>25</v>
      </c>
      <c r="G4">
        <v>33.9</v>
      </c>
    </row>
    <row r="5" spans="1:8" x14ac:dyDescent="0.3">
      <c r="A5">
        <v>10</v>
      </c>
      <c r="B5">
        <v>40</v>
      </c>
      <c r="C5">
        <v>1066.46</v>
      </c>
      <c r="D5">
        <v>4.7699999999999996</v>
      </c>
      <c r="E5">
        <v>8.8000000000000007</v>
      </c>
      <c r="F5">
        <v>35</v>
      </c>
      <c r="G5">
        <v>43.8</v>
      </c>
    </row>
    <row r="6" spans="1:8" x14ac:dyDescent="0.3">
      <c r="A6">
        <v>10</v>
      </c>
      <c r="B6">
        <v>50</v>
      </c>
      <c r="C6">
        <v>1065.45</v>
      </c>
      <c r="D6">
        <v>4.6399999999999997</v>
      </c>
      <c r="E6">
        <v>8.8000000000000007</v>
      </c>
      <c r="F6">
        <v>44.9</v>
      </c>
      <c r="G6">
        <v>53.7</v>
      </c>
    </row>
    <row r="7" spans="1:8" x14ac:dyDescent="0.3">
      <c r="A7">
        <v>10</v>
      </c>
      <c r="B7">
        <v>60</v>
      </c>
      <c r="C7">
        <v>1057.655</v>
      </c>
      <c r="D7">
        <v>4.9249999999999998</v>
      </c>
      <c r="E7">
        <v>8.6999999999999993</v>
      </c>
      <c r="F7">
        <v>54.7</v>
      </c>
      <c r="G7">
        <v>63.4</v>
      </c>
    </row>
    <row r="8" spans="1:8" x14ac:dyDescent="0.3">
      <c r="A8">
        <v>10</v>
      </c>
      <c r="B8">
        <v>70</v>
      </c>
      <c r="C8">
        <v>1067.8900000000001</v>
      </c>
      <c r="D8">
        <v>4.5</v>
      </c>
      <c r="E8">
        <v>8.8000000000000007</v>
      </c>
      <c r="F8">
        <v>64.5</v>
      </c>
      <c r="G8">
        <v>73.3</v>
      </c>
    </row>
    <row r="9" spans="1:8" x14ac:dyDescent="0.3">
      <c r="A9">
        <v>10</v>
      </c>
      <c r="B9">
        <v>80</v>
      </c>
      <c r="C9">
        <v>1064.9000000000001</v>
      </c>
      <c r="D9">
        <v>3.625</v>
      </c>
      <c r="E9">
        <v>8.8000000000000007</v>
      </c>
      <c r="F9">
        <v>74.3</v>
      </c>
      <c r="G9">
        <v>83.1</v>
      </c>
    </row>
    <row r="10" spans="1:8" x14ac:dyDescent="0.3">
      <c r="A10">
        <v>10</v>
      </c>
      <c r="B10">
        <v>90</v>
      </c>
      <c r="C10">
        <v>1067.68</v>
      </c>
      <c r="D10">
        <v>4.4450000000000003</v>
      </c>
      <c r="E10">
        <v>8.8000000000000007</v>
      </c>
      <c r="F10">
        <v>84</v>
      </c>
      <c r="G10">
        <v>92.8</v>
      </c>
    </row>
    <row r="11" spans="1:8" x14ac:dyDescent="0.3">
      <c r="A11">
        <v>10</v>
      </c>
      <c r="B11">
        <v>100</v>
      </c>
      <c r="C11">
        <v>1064.23</v>
      </c>
      <c r="D11">
        <v>4.9850000000000003</v>
      </c>
      <c r="E11">
        <v>8.8000000000000007</v>
      </c>
      <c r="F11">
        <v>93.8</v>
      </c>
      <c r="G11">
        <v>102.6</v>
      </c>
    </row>
    <row r="12" spans="1:8" x14ac:dyDescent="0.3">
      <c r="A12">
        <v>20</v>
      </c>
      <c r="B12">
        <v>10</v>
      </c>
      <c r="C12">
        <v>776.73</v>
      </c>
      <c r="D12">
        <v>4.5250000000000004</v>
      </c>
      <c r="E12">
        <v>5.6</v>
      </c>
      <c r="F12">
        <v>103.7</v>
      </c>
      <c r="G12">
        <v>109.3</v>
      </c>
    </row>
    <row r="13" spans="1:8" x14ac:dyDescent="0.3">
      <c r="A13">
        <v>20</v>
      </c>
      <c r="B13">
        <v>20</v>
      </c>
      <c r="C13">
        <v>715.87</v>
      </c>
      <c r="D13">
        <v>4.8250000000000002</v>
      </c>
      <c r="E13">
        <v>5</v>
      </c>
      <c r="F13">
        <v>110.4</v>
      </c>
      <c r="G13">
        <v>115.4</v>
      </c>
    </row>
    <row r="14" spans="1:8" x14ac:dyDescent="0.3">
      <c r="A14">
        <v>20</v>
      </c>
      <c r="B14">
        <v>30</v>
      </c>
      <c r="C14">
        <v>686.83500000000004</v>
      </c>
      <c r="D14">
        <v>4.7249999999999996</v>
      </c>
      <c r="E14">
        <v>4.7</v>
      </c>
      <c r="F14">
        <v>116.5</v>
      </c>
      <c r="G14">
        <v>121.2</v>
      </c>
    </row>
    <row r="15" spans="1:8" x14ac:dyDescent="0.3">
      <c r="A15">
        <v>20</v>
      </c>
      <c r="B15">
        <v>40</v>
      </c>
      <c r="C15">
        <v>690.15499999999997</v>
      </c>
      <c r="D15">
        <v>4.57</v>
      </c>
      <c r="E15">
        <v>4.7</v>
      </c>
      <c r="F15">
        <v>122.3</v>
      </c>
      <c r="G15">
        <v>127</v>
      </c>
    </row>
    <row r="16" spans="1:8" x14ac:dyDescent="0.3">
      <c r="A16">
        <v>20</v>
      </c>
      <c r="B16">
        <v>50</v>
      </c>
      <c r="C16">
        <v>677.06</v>
      </c>
      <c r="D16">
        <v>4.71</v>
      </c>
      <c r="E16">
        <v>4.5999999999999996</v>
      </c>
      <c r="F16">
        <v>128</v>
      </c>
      <c r="G16">
        <v>132.6</v>
      </c>
    </row>
    <row r="17" spans="1:7" x14ac:dyDescent="0.3">
      <c r="A17">
        <v>20</v>
      </c>
      <c r="B17">
        <v>60</v>
      </c>
      <c r="C17">
        <v>676.79499999999996</v>
      </c>
      <c r="D17">
        <v>4.0599999999999996</v>
      </c>
      <c r="E17">
        <v>4.5999999999999996</v>
      </c>
      <c r="F17">
        <v>133.6</v>
      </c>
      <c r="G17">
        <v>138.19999999999999</v>
      </c>
    </row>
    <row r="18" spans="1:7" x14ac:dyDescent="0.3">
      <c r="A18">
        <v>20</v>
      </c>
      <c r="B18">
        <v>70</v>
      </c>
      <c r="C18">
        <v>682.14</v>
      </c>
      <c r="D18">
        <v>4.2149999999999999</v>
      </c>
      <c r="E18">
        <v>4.5999999999999996</v>
      </c>
      <c r="F18">
        <v>139.19999999999999</v>
      </c>
      <c r="G18">
        <v>143.80000000000001</v>
      </c>
    </row>
    <row r="19" spans="1:7" x14ac:dyDescent="0.3">
      <c r="A19">
        <v>20</v>
      </c>
      <c r="B19">
        <v>80</v>
      </c>
      <c r="C19">
        <v>668.92</v>
      </c>
      <c r="D19">
        <v>3.9249999999999998</v>
      </c>
      <c r="E19">
        <v>4.5</v>
      </c>
      <c r="F19">
        <v>144.80000000000001</v>
      </c>
      <c r="G19">
        <v>149.30000000000001</v>
      </c>
    </row>
    <row r="20" spans="1:7" x14ac:dyDescent="0.3">
      <c r="A20">
        <v>20</v>
      </c>
      <c r="B20">
        <v>90</v>
      </c>
      <c r="C20">
        <v>681.47</v>
      </c>
      <c r="D20">
        <v>3.92</v>
      </c>
      <c r="E20">
        <v>4.5999999999999996</v>
      </c>
      <c r="F20">
        <v>150.30000000000001</v>
      </c>
      <c r="G20">
        <v>154.9</v>
      </c>
    </row>
    <row r="21" spans="1:7" x14ac:dyDescent="0.3">
      <c r="A21">
        <v>20</v>
      </c>
      <c r="B21">
        <v>100</v>
      </c>
      <c r="C21">
        <v>676.64</v>
      </c>
      <c r="D21">
        <v>5.4050000000000002</v>
      </c>
      <c r="E21">
        <v>4.5999999999999996</v>
      </c>
      <c r="F21">
        <v>155.80000000000001</v>
      </c>
      <c r="G21">
        <v>160.4</v>
      </c>
    </row>
    <row r="22" spans="1:7" x14ac:dyDescent="0.3">
      <c r="A22">
        <v>30</v>
      </c>
      <c r="B22">
        <v>10</v>
      </c>
      <c r="C22">
        <v>652.005</v>
      </c>
      <c r="D22">
        <v>4.0449999999999999</v>
      </c>
      <c r="E22">
        <v>4.2</v>
      </c>
      <c r="F22">
        <v>161.6</v>
      </c>
      <c r="G22">
        <v>165.8</v>
      </c>
    </row>
    <row r="23" spans="1:7" x14ac:dyDescent="0.3">
      <c r="A23">
        <v>30</v>
      </c>
      <c r="B23">
        <v>20</v>
      </c>
      <c r="C23">
        <v>611.12</v>
      </c>
      <c r="D23">
        <v>5.085</v>
      </c>
      <c r="E23">
        <v>3.7</v>
      </c>
      <c r="F23">
        <v>167.1</v>
      </c>
      <c r="G23">
        <v>170.8</v>
      </c>
    </row>
    <row r="24" spans="1:7" x14ac:dyDescent="0.3">
      <c r="A24">
        <v>30</v>
      </c>
      <c r="B24">
        <v>30</v>
      </c>
      <c r="C24">
        <v>579.51</v>
      </c>
      <c r="D24">
        <v>4.95</v>
      </c>
      <c r="E24">
        <v>3.4</v>
      </c>
      <c r="F24">
        <v>171.9</v>
      </c>
      <c r="G24">
        <v>175.3</v>
      </c>
    </row>
    <row r="25" spans="1:7" x14ac:dyDescent="0.3">
      <c r="A25">
        <v>30</v>
      </c>
      <c r="B25">
        <v>40</v>
      </c>
      <c r="C25">
        <v>579.29499999999996</v>
      </c>
      <c r="D25">
        <v>5.0049999999999999</v>
      </c>
      <c r="E25">
        <v>3.3</v>
      </c>
      <c r="F25">
        <v>176.4</v>
      </c>
      <c r="G25">
        <v>179.7</v>
      </c>
    </row>
    <row r="26" spans="1:7" x14ac:dyDescent="0.3">
      <c r="A26">
        <v>30</v>
      </c>
      <c r="B26">
        <v>50</v>
      </c>
      <c r="C26">
        <v>567.72500000000002</v>
      </c>
      <c r="D26">
        <v>5.0549999999999997</v>
      </c>
      <c r="E26">
        <v>3.2</v>
      </c>
      <c r="F26">
        <v>180.8</v>
      </c>
      <c r="G26">
        <v>184</v>
      </c>
    </row>
    <row r="27" spans="1:7" x14ac:dyDescent="0.3">
      <c r="A27">
        <v>30</v>
      </c>
      <c r="B27">
        <v>60</v>
      </c>
      <c r="C27">
        <v>542.58500000000004</v>
      </c>
      <c r="D27">
        <v>4.54</v>
      </c>
      <c r="E27">
        <v>3.1</v>
      </c>
      <c r="F27">
        <v>185.1</v>
      </c>
      <c r="G27">
        <v>188.2</v>
      </c>
    </row>
    <row r="28" spans="1:7" x14ac:dyDescent="0.3">
      <c r="A28">
        <v>30</v>
      </c>
      <c r="B28">
        <v>70</v>
      </c>
      <c r="C28">
        <v>565.08000000000004</v>
      </c>
      <c r="D28">
        <v>4.8550000000000004</v>
      </c>
      <c r="E28">
        <v>3.2</v>
      </c>
      <c r="F28">
        <v>189.2</v>
      </c>
      <c r="G28">
        <v>192.4</v>
      </c>
    </row>
    <row r="29" spans="1:7" x14ac:dyDescent="0.3">
      <c r="A29">
        <v>30</v>
      </c>
      <c r="B29">
        <v>80</v>
      </c>
      <c r="C29">
        <v>548.99</v>
      </c>
      <c r="D29">
        <v>4.3550000000000004</v>
      </c>
      <c r="E29">
        <v>3.1</v>
      </c>
      <c r="F29">
        <v>193.5</v>
      </c>
      <c r="G29">
        <v>196.6</v>
      </c>
    </row>
    <row r="30" spans="1:7" x14ac:dyDescent="0.3">
      <c r="A30">
        <v>30</v>
      </c>
      <c r="B30">
        <v>90</v>
      </c>
      <c r="C30">
        <v>553.03499999999997</v>
      </c>
      <c r="D30">
        <v>4.9050000000000002</v>
      </c>
      <c r="E30">
        <v>3.1</v>
      </c>
      <c r="F30">
        <v>197.6</v>
      </c>
      <c r="G30">
        <v>200.7</v>
      </c>
    </row>
    <row r="31" spans="1:7" x14ac:dyDescent="0.3">
      <c r="A31">
        <v>30</v>
      </c>
      <c r="B31">
        <v>100</v>
      </c>
      <c r="C31">
        <v>549.79499999999996</v>
      </c>
      <c r="D31">
        <v>5.58</v>
      </c>
      <c r="E31">
        <v>3.1</v>
      </c>
      <c r="F31">
        <v>201.8</v>
      </c>
      <c r="G31">
        <v>204.9</v>
      </c>
    </row>
    <row r="32" spans="1:7" x14ac:dyDescent="0.3">
      <c r="A32">
        <v>40</v>
      </c>
      <c r="B32">
        <v>10</v>
      </c>
      <c r="C32">
        <v>618.66499999999996</v>
      </c>
      <c r="D32">
        <v>4.1399999999999997</v>
      </c>
      <c r="E32">
        <v>3.8</v>
      </c>
      <c r="F32">
        <v>206.1</v>
      </c>
      <c r="G32">
        <v>209.9</v>
      </c>
    </row>
    <row r="33" spans="1:7" x14ac:dyDescent="0.3">
      <c r="A33">
        <v>40</v>
      </c>
      <c r="B33">
        <v>20</v>
      </c>
      <c r="C33">
        <v>551.28499999999997</v>
      </c>
      <c r="D33">
        <v>4.2699999999999996</v>
      </c>
      <c r="E33">
        <v>3</v>
      </c>
      <c r="F33">
        <v>211.2</v>
      </c>
      <c r="G33">
        <v>214.2</v>
      </c>
    </row>
    <row r="34" spans="1:7" x14ac:dyDescent="0.3">
      <c r="A34">
        <v>40</v>
      </c>
      <c r="B34">
        <v>30</v>
      </c>
      <c r="C34">
        <v>532.19500000000005</v>
      </c>
      <c r="D34">
        <v>5.4950000000000001</v>
      </c>
      <c r="E34">
        <v>2.8</v>
      </c>
      <c r="F34">
        <v>215.4</v>
      </c>
      <c r="G34">
        <v>218.2</v>
      </c>
    </row>
    <row r="35" spans="1:7" x14ac:dyDescent="0.3">
      <c r="A35">
        <v>40</v>
      </c>
      <c r="B35">
        <v>40</v>
      </c>
      <c r="C35">
        <v>526.38</v>
      </c>
      <c r="D35">
        <v>4.5199999999999996</v>
      </c>
      <c r="E35">
        <v>2.6</v>
      </c>
      <c r="F35">
        <v>219.3</v>
      </c>
      <c r="G35">
        <v>221.9</v>
      </c>
    </row>
    <row r="36" spans="1:7" x14ac:dyDescent="0.3">
      <c r="A36">
        <v>40</v>
      </c>
      <c r="B36">
        <v>50</v>
      </c>
      <c r="C36">
        <v>514.36</v>
      </c>
      <c r="D36">
        <v>5.33</v>
      </c>
      <c r="E36">
        <v>2.6</v>
      </c>
      <c r="F36">
        <v>222.9</v>
      </c>
      <c r="G36">
        <v>225.5</v>
      </c>
    </row>
    <row r="37" spans="1:7" x14ac:dyDescent="0.3">
      <c r="A37">
        <v>40</v>
      </c>
      <c r="B37">
        <v>60</v>
      </c>
      <c r="C37">
        <v>498.58499999999998</v>
      </c>
      <c r="D37">
        <v>4.3550000000000004</v>
      </c>
      <c r="E37">
        <v>2.5</v>
      </c>
      <c r="F37">
        <v>226.6</v>
      </c>
      <c r="G37">
        <v>229.1</v>
      </c>
    </row>
    <row r="38" spans="1:7" x14ac:dyDescent="0.3">
      <c r="A38">
        <v>40</v>
      </c>
      <c r="B38">
        <v>70</v>
      </c>
      <c r="C38">
        <v>507.745</v>
      </c>
      <c r="D38">
        <v>4.16</v>
      </c>
      <c r="E38">
        <v>2.5</v>
      </c>
      <c r="F38">
        <v>230.1</v>
      </c>
      <c r="G38">
        <v>232.6</v>
      </c>
    </row>
    <row r="39" spans="1:7" x14ac:dyDescent="0.3">
      <c r="A39">
        <v>40</v>
      </c>
      <c r="B39">
        <v>80</v>
      </c>
      <c r="C39">
        <v>531.77</v>
      </c>
      <c r="D39">
        <v>4.5650000000000004</v>
      </c>
      <c r="E39">
        <v>2.5</v>
      </c>
      <c r="F39">
        <v>233.6</v>
      </c>
      <c r="G39">
        <v>236.1</v>
      </c>
    </row>
    <row r="40" spans="1:7" x14ac:dyDescent="0.3">
      <c r="A40">
        <v>40</v>
      </c>
      <c r="B40">
        <v>90</v>
      </c>
      <c r="C40">
        <v>538.25</v>
      </c>
      <c r="D40">
        <v>4.2249999999999996</v>
      </c>
      <c r="E40">
        <v>2.5</v>
      </c>
      <c r="F40">
        <v>237.1</v>
      </c>
      <c r="G40">
        <v>239.6</v>
      </c>
    </row>
    <row r="41" spans="1:7" x14ac:dyDescent="0.3">
      <c r="A41">
        <v>40</v>
      </c>
      <c r="B41">
        <v>100</v>
      </c>
      <c r="C41">
        <v>507.90499999999997</v>
      </c>
      <c r="D41">
        <v>5.9550000000000001</v>
      </c>
      <c r="E41">
        <v>2.5</v>
      </c>
      <c r="F41">
        <v>240.6</v>
      </c>
      <c r="G41">
        <v>243.1</v>
      </c>
    </row>
    <row r="42" spans="1:7" x14ac:dyDescent="0.3">
      <c r="A42">
        <v>50</v>
      </c>
      <c r="B42">
        <v>10</v>
      </c>
      <c r="C42">
        <v>607.95000000000005</v>
      </c>
      <c r="D42">
        <v>4.8250000000000002</v>
      </c>
      <c r="E42">
        <v>3.6</v>
      </c>
      <c r="F42">
        <v>244.3</v>
      </c>
      <c r="G42">
        <v>247.9</v>
      </c>
    </row>
    <row r="43" spans="1:7" x14ac:dyDescent="0.3">
      <c r="A43">
        <v>50</v>
      </c>
      <c r="B43">
        <v>20</v>
      </c>
      <c r="C43">
        <v>559.84</v>
      </c>
      <c r="D43">
        <v>4.68</v>
      </c>
      <c r="E43">
        <v>2.8</v>
      </c>
      <c r="F43">
        <v>249.1</v>
      </c>
      <c r="G43">
        <v>251.9</v>
      </c>
    </row>
    <row r="44" spans="1:7" x14ac:dyDescent="0.3">
      <c r="A44">
        <v>50</v>
      </c>
      <c r="B44">
        <v>30</v>
      </c>
      <c r="C44">
        <v>531.54</v>
      </c>
      <c r="D44">
        <v>5.34</v>
      </c>
      <c r="E44">
        <v>2.5</v>
      </c>
      <c r="F44">
        <v>253</v>
      </c>
      <c r="G44">
        <v>255.5</v>
      </c>
    </row>
    <row r="45" spans="1:7" x14ac:dyDescent="0.3">
      <c r="A45">
        <v>50</v>
      </c>
      <c r="B45">
        <v>40</v>
      </c>
      <c r="C45">
        <v>502.185</v>
      </c>
      <c r="D45">
        <v>5.1449999999999996</v>
      </c>
      <c r="E45">
        <v>2.2000000000000002</v>
      </c>
      <c r="F45">
        <v>256.60000000000002</v>
      </c>
      <c r="G45">
        <v>258.8</v>
      </c>
    </row>
    <row r="46" spans="1:7" x14ac:dyDescent="0.3">
      <c r="A46">
        <v>50</v>
      </c>
      <c r="B46">
        <v>50</v>
      </c>
      <c r="C46">
        <v>504.15</v>
      </c>
      <c r="D46">
        <v>4.67</v>
      </c>
      <c r="E46">
        <v>2.2000000000000002</v>
      </c>
      <c r="F46">
        <v>259.89999999999998</v>
      </c>
      <c r="G46">
        <v>262.10000000000002</v>
      </c>
    </row>
    <row r="47" spans="1:7" x14ac:dyDescent="0.3">
      <c r="A47">
        <v>50</v>
      </c>
      <c r="B47">
        <v>60</v>
      </c>
      <c r="C47">
        <v>505.01</v>
      </c>
      <c r="D47">
        <v>4.835</v>
      </c>
      <c r="E47">
        <v>2.2000000000000002</v>
      </c>
      <c r="F47">
        <v>263.10000000000002</v>
      </c>
      <c r="G47">
        <v>265.3</v>
      </c>
    </row>
    <row r="48" spans="1:7" x14ac:dyDescent="0.3">
      <c r="A48">
        <v>50</v>
      </c>
      <c r="B48">
        <v>70</v>
      </c>
      <c r="C48">
        <v>497.74</v>
      </c>
      <c r="D48">
        <v>4.76</v>
      </c>
      <c r="E48">
        <v>2.1</v>
      </c>
      <c r="F48">
        <v>266.3</v>
      </c>
      <c r="G48">
        <v>268.39999999999998</v>
      </c>
    </row>
    <row r="49" spans="1:7" x14ac:dyDescent="0.3">
      <c r="A49">
        <v>50</v>
      </c>
      <c r="B49">
        <v>80</v>
      </c>
      <c r="C49">
        <v>485.2</v>
      </c>
      <c r="D49">
        <v>4.7</v>
      </c>
      <c r="E49">
        <v>2</v>
      </c>
      <c r="F49">
        <v>269.39999999999998</v>
      </c>
      <c r="G49">
        <v>271.39999999999998</v>
      </c>
    </row>
    <row r="50" spans="1:7" x14ac:dyDescent="0.3">
      <c r="A50">
        <v>50</v>
      </c>
      <c r="B50">
        <v>90</v>
      </c>
      <c r="C50">
        <v>480.35</v>
      </c>
      <c r="D50">
        <v>5.52</v>
      </c>
      <c r="E50">
        <v>2</v>
      </c>
      <c r="F50">
        <v>272.5</v>
      </c>
      <c r="G50">
        <v>274.5</v>
      </c>
    </row>
    <row r="51" spans="1:7" x14ac:dyDescent="0.3">
      <c r="A51">
        <v>50</v>
      </c>
      <c r="B51">
        <v>100</v>
      </c>
      <c r="C51">
        <v>484.08</v>
      </c>
      <c r="D51">
        <v>6.02</v>
      </c>
      <c r="E51">
        <v>2</v>
      </c>
      <c r="F51">
        <v>275.60000000000002</v>
      </c>
      <c r="G51">
        <v>277.60000000000002</v>
      </c>
    </row>
    <row r="52" spans="1:7" x14ac:dyDescent="0.3">
      <c r="A52">
        <v>60</v>
      </c>
      <c r="B52">
        <v>10</v>
      </c>
      <c r="C52">
        <v>604.05499999999995</v>
      </c>
      <c r="D52">
        <v>4.9550000000000001</v>
      </c>
      <c r="E52">
        <v>3.6</v>
      </c>
      <c r="F52">
        <v>278.8</v>
      </c>
      <c r="G52">
        <v>282.39999999999998</v>
      </c>
    </row>
    <row r="53" spans="1:7" x14ac:dyDescent="0.3">
      <c r="A53">
        <v>60</v>
      </c>
      <c r="B53">
        <v>20</v>
      </c>
      <c r="C53">
        <v>543.05499999999995</v>
      </c>
      <c r="D53">
        <v>4.9000000000000004</v>
      </c>
      <c r="E53">
        <v>2.6</v>
      </c>
      <c r="F53">
        <v>283.5</v>
      </c>
      <c r="G53">
        <v>286.10000000000002</v>
      </c>
    </row>
    <row r="54" spans="1:7" x14ac:dyDescent="0.3">
      <c r="A54">
        <v>60</v>
      </c>
      <c r="B54">
        <v>30</v>
      </c>
      <c r="C54">
        <v>521.73500000000001</v>
      </c>
      <c r="D54">
        <v>4.8250000000000002</v>
      </c>
      <c r="E54">
        <v>2.2999999999999998</v>
      </c>
      <c r="F54">
        <v>287.2</v>
      </c>
      <c r="G54">
        <v>289.5</v>
      </c>
    </row>
    <row r="55" spans="1:7" x14ac:dyDescent="0.3">
      <c r="A55">
        <v>60</v>
      </c>
      <c r="B55">
        <v>40</v>
      </c>
      <c r="C55">
        <v>511.88</v>
      </c>
      <c r="D55">
        <v>5.0549999999999997</v>
      </c>
      <c r="E55">
        <v>2.1</v>
      </c>
      <c r="F55">
        <v>290.5</v>
      </c>
      <c r="G55">
        <v>292.60000000000002</v>
      </c>
    </row>
    <row r="56" spans="1:7" x14ac:dyDescent="0.3">
      <c r="A56">
        <v>60</v>
      </c>
      <c r="B56">
        <v>50</v>
      </c>
      <c r="C56">
        <v>481.685</v>
      </c>
      <c r="D56">
        <v>4.53</v>
      </c>
      <c r="E56">
        <v>2</v>
      </c>
      <c r="F56">
        <v>293.60000000000002</v>
      </c>
      <c r="G56">
        <v>295.60000000000002</v>
      </c>
    </row>
    <row r="57" spans="1:7" x14ac:dyDescent="0.3">
      <c r="A57">
        <v>60</v>
      </c>
      <c r="B57">
        <v>60</v>
      </c>
      <c r="C57">
        <v>502.5</v>
      </c>
      <c r="D57">
        <v>4.6950000000000003</v>
      </c>
      <c r="E57">
        <v>1.9</v>
      </c>
      <c r="F57">
        <v>296.60000000000002</v>
      </c>
      <c r="G57">
        <v>298.5</v>
      </c>
    </row>
    <row r="58" spans="1:7" x14ac:dyDescent="0.3">
      <c r="A58">
        <v>60</v>
      </c>
      <c r="B58">
        <v>70</v>
      </c>
      <c r="C58">
        <v>462.66500000000002</v>
      </c>
      <c r="D58">
        <v>5.4349999999999996</v>
      </c>
      <c r="E58">
        <v>1.8</v>
      </c>
      <c r="F58">
        <v>299.5</v>
      </c>
      <c r="G58">
        <v>301.3</v>
      </c>
    </row>
    <row r="59" spans="1:7" x14ac:dyDescent="0.3">
      <c r="A59">
        <v>60</v>
      </c>
      <c r="B59">
        <v>80</v>
      </c>
      <c r="C59">
        <v>453.91</v>
      </c>
      <c r="D59">
        <v>4.7149999999999999</v>
      </c>
      <c r="E59">
        <v>1.8</v>
      </c>
      <c r="F59">
        <v>302.39999999999998</v>
      </c>
      <c r="G59">
        <v>304.2</v>
      </c>
    </row>
    <row r="60" spans="1:7" x14ac:dyDescent="0.3">
      <c r="A60">
        <v>60</v>
      </c>
      <c r="B60">
        <v>90</v>
      </c>
      <c r="C60">
        <v>458.94499999999999</v>
      </c>
      <c r="D60">
        <v>5.8</v>
      </c>
      <c r="E60">
        <v>1.8</v>
      </c>
      <c r="F60">
        <v>305.2</v>
      </c>
      <c r="G60">
        <v>307</v>
      </c>
    </row>
    <row r="61" spans="1:7" x14ac:dyDescent="0.3">
      <c r="A61">
        <v>60</v>
      </c>
      <c r="B61">
        <v>100</v>
      </c>
      <c r="C61">
        <v>448.24</v>
      </c>
      <c r="D61">
        <v>6.165</v>
      </c>
      <c r="E61">
        <v>1.7</v>
      </c>
      <c r="F61">
        <v>308.10000000000002</v>
      </c>
      <c r="G61">
        <v>309.8</v>
      </c>
    </row>
    <row r="62" spans="1:7" x14ac:dyDescent="0.3">
      <c r="A62">
        <v>70</v>
      </c>
      <c r="B62">
        <v>10</v>
      </c>
      <c r="C62">
        <v>582.28499999999997</v>
      </c>
      <c r="D62">
        <v>5.33</v>
      </c>
      <c r="E62">
        <v>3.4</v>
      </c>
      <c r="F62">
        <v>311</v>
      </c>
      <c r="G62">
        <v>314.39999999999998</v>
      </c>
    </row>
    <row r="63" spans="1:7" x14ac:dyDescent="0.3">
      <c r="A63">
        <v>70</v>
      </c>
      <c r="B63">
        <v>20</v>
      </c>
      <c r="C63">
        <v>527.36</v>
      </c>
      <c r="D63">
        <v>5.14</v>
      </c>
      <c r="E63">
        <v>2.5</v>
      </c>
      <c r="F63">
        <v>315.60000000000002</v>
      </c>
      <c r="G63">
        <v>318.10000000000002</v>
      </c>
    </row>
    <row r="64" spans="1:7" x14ac:dyDescent="0.3">
      <c r="A64">
        <v>70</v>
      </c>
      <c r="B64">
        <v>30</v>
      </c>
      <c r="C64">
        <v>494.55</v>
      </c>
      <c r="D64">
        <v>5.19</v>
      </c>
      <c r="E64">
        <v>2.1</v>
      </c>
      <c r="F64">
        <v>319.2</v>
      </c>
      <c r="G64">
        <v>321.3</v>
      </c>
    </row>
    <row r="65" spans="1:7" x14ac:dyDescent="0.3">
      <c r="A65">
        <v>70</v>
      </c>
      <c r="B65">
        <v>40</v>
      </c>
      <c r="C65">
        <v>478.59</v>
      </c>
      <c r="D65">
        <v>4.9400000000000004</v>
      </c>
      <c r="E65">
        <v>1.8</v>
      </c>
      <c r="F65">
        <v>322.39999999999998</v>
      </c>
      <c r="G65">
        <v>324.2</v>
      </c>
    </row>
    <row r="66" spans="1:7" x14ac:dyDescent="0.3">
      <c r="A66">
        <v>70</v>
      </c>
      <c r="B66">
        <v>50</v>
      </c>
      <c r="C66">
        <v>471.42</v>
      </c>
      <c r="D66">
        <v>4.9050000000000002</v>
      </c>
      <c r="E66">
        <v>1.8</v>
      </c>
      <c r="F66">
        <v>325.3</v>
      </c>
      <c r="G66">
        <v>327.10000000000002</v>
      </c>
    </row>
    <row r="67" spans="1:7" x14ac:dyDescent="0.3">
      <c r="A67">
        <v>70</v>
      </c>
      <c r="B67">
        <v>60</v>
      </c>
      <c r="C67">
        <v>461.42</v>
      </c>
      <c r="D67">
        <v>4.5750000000000002</v>
      </c>
      <c r="E67">
        <v>1.7</v>
      </c>
      <c r="F67">
        <v>328.1</v>
      </c>
      <c r="G67">
        <v>329.8</v>
      </c>
    </row>
    <row r="68" spans="1:7" x14ac:dyDescent="0.3">
      <c r="A68">
        <v>70</v>
      </c>
      <c r="B68">
        <v>70</v>
      </c>
      <c r="C68">
        <v>489.29500000000002</v>
      </c>
      <c r="D68">
        <v>5.27</v>
      </c>
      <c r="E68">
        <v>1.7</v>
      </c>
      <c r="F68">
        <v>330.8</v>
      </c>
      <c r="G68">
        <v>332.5</v>
      </c>
    </row>
    <row r="69" spans="1:7" x14ac:dyDescent="0.3">
      <c r="A69">
        <v>70</v>
      </c>
      <c r="B69">
        <v>80</v>
      </c>
      <c r="C69">
        <v>474.35</v>
      </c>
      <c r="D69">
        <v>4.7850000000000001</v>
      </c>
      <c r="E69">
        <v>1.6</v>
      </c>
      <c r="F69">
        <v>333.6</v>
      </c>
      <c r="G69">
        <v>335.2</v>
      </c>
    </row>
    <row r="70" spans="1:7" x14ac:dyDescent="0.3">
      <c r="A70">
        <v>70</v>
      </c>
      <c r="B70">
        <v>90</v>
      </c>
      <c r="C70">
        <v>411.51</v>
      </c>
      <c r="D70">
        <v>4.8250000000000002</v>
      </c>
      <c r="E70">
        <v>1.6</v>
      </c>
      <c r="F70">
        <v>336.2</v>
      </c>
      <c r="G70">
        <v>337.8</v>
      </c>
    </row>
    <row r="71" spans="1:7" x14ac:dyDescent="0.3">
      <c r="A71">
        <v>70</v>
      </c>
      <c r="B71">
        <v>100</v>
      </c>
      <c r="C71">
        <v>480.45499999999998</v>
      </c>
      <c r="D71">
        <v>6.2450000000000001</v>
      </c>
      <c r="E71">
        <v>1.6</v>
      </c>
      <c r="F71">
        <v>338.8</v>
      </c>
      <c r="G71">
        <v>340.4</v>
      </c>
    </row>
    <row r="72" spans="1:7" x14ac:dyDescent="0.3">
      <c r="A72">
        <v>80</v>
      </c>
      <c r="B72">
        <v>10</v>
      </c>
      <c r="C72">
        <v>557.97500000000002</v>
      </c>
      <c r="D72">
        <v>4.5999999999999996</v>
      </c>
      <c r="E72">
        <v>3.3</v>
      </c>
      <c r="F72">
        <v>341.6</v>
      </c>
      <c r="G72">
        <v>344.9</v>
      </c>
    </row>
    <row r="73" spans="1:7" x14ac:dyDescent="0.3">
      <c r="A73">
        <v>80</v>
      </c>
      <c r="B73">
        <v>20</v>
      </c>
      <c r="C73">
        <v>502.59</v>
      </c>
      <c r="D73">
        <v>4.7949999999999999</v>
      </c>
      <c r="E73">
        <v>2.4</v>
      </c>
      <c r="F73">
        <v>346.1</v>
      </c>
      <c r="G73">
        <v>348.5</v>
      </c>
    </row>
    <row r="74" spans="1:7" x14ac:dyDescent="0.3">
      <c r="A74">
        <v>80</v>
      </c>
      <c r="B74">
        <v>30</v>
      </c>
      <c r="C74">
        <v>494.86</v>
      </c>
      <c r="D74">
        <v>5.2750000000000004</v>
      </c>
      <c r="E74">
        <v>2</v>
      </c>
      <c r="F74">
        <v>349.6</v>
      </c>
      <c r="G74">
        <v>351.6</v>
      </c>
    </row>
    <row r="75" spans="1:7" x14ac:dyDescent="0.3">
      <c r="A75">
        <v>80</v>
      </c>
      <c r="B75">
        <v>40</v>
      </c>
      <c r="C75">
        <v>467.47500000000002</v>
      </c>
      <c r="D75">
        <v>4.82</v>
      </c>
      <c r="E75">
        <v>1.7</v>
      </c>
      <c r="F75">
        <v>352.7</v>
      </c>
      <c r="G75">
        <v>354.4</v>
      </c>
    </row>
    <row r="76" spans="1:7" x14ac:dyDescent="0.3">
      <c r="A76">
        <v>80</v>
      </c>
      <c r="B76">
        <v>50</v>
      </c>
      <c r="C76">
        <v>450.35</v>
      </c>
      <c r="D76">
        <v>4.58</v>
      </c>
      <c r="E76">
        <v>1.6</v>
      </c>
      <c r="F76">
        <v>355.5</v>
      </c>
      <c r="G76">
        <v>357.1</v>
      </c>
    </row>
    <row r="77" spans="1:7" x14ac:dyDescent="0.3">
      <c r="A77">
        <v>80</v>
      </c>
      <c r="B77">
        <v>60</v>
      </c>
      <c r="C77">
        <v>468.57</v>
      </c>
      <c r="D77">
        <v>5.0049999999999999</v>
      </c>
      <c r="E77">
        <v>1.6</v>
      </c>
      <c r="F77">
        <v>358.2</v>
      </c>
      <c r="G77">
        <v>359.8</v>
      </c>
    </row>
    <row r="78" spans="1:7" x14ac:dyDescent="0.3">
      <c r="A78">
        <v>80</v>
      </c>
      <c r="B78">
        <v>70</v>
      </c>
      <c r="C78">
        <v>409.34</v>
      </c>
      <c r="D78">
        <v>5.31</v>
      </c>
      <c r="E78">
        <v>1.4</v>
      </c>
      <c r="F78">
        <v>360.9</v>
      </c>
      <c r="G78">
        <v>362.3</v>
      </c>
    </row>
    <row r="79" spans="1:7" x14ac:dyDescent="0.3">
      <c r="A79">
        <v>80</v>
      </c>
      <c r="B79">
        <v>80</v>
      </c>
      <c r="C79">
        <v>464.54</v>
      </c>
      <c r="D79">
        <v>5.5549999999999997</v>
      </c>
      <c r="E79">
        <v>1.5</v>
      </c>
      <c r="F79">
        <v>363.4</v>
      </c>
      <c r="G79">
        <v>364.9</v>
      </c>
    </row>
    <row r="80" spans="1:7" x14ac:dyDescent="0.3">
      <c r="A80">
        <v>80</v>
      </c>
      <c r="B80">
        <v>90</v>
      </c>
      <c r="C80">
        <v>454.62</v>
      </c>
      <c r="D80">
        <v>5.82</v>
      </c>
      <c r="E80">
        <v>1.4</v>
      </c>
      <c r="F80">
        <v>366</v>
      </c>
      <c r="G80">
        <v>367.4</v>
      </c>
    </row>
    <row r="81" spans="1:7" x14ac:dyDescent="0.3">
      <c r="A81">
        <v>80</v>
      </c>
      <c r="B81">
        <v>100</v>
      </c>
      <c r="C81">
        <v>416.74</v>
      </c>
      <c r="D81">
        <v>6.8449999999999998</v>
      </c>
      <c r="E81">
        <v>1.4</v>
      </c>
      <c r="F81">
        <v>368.5</v>
      </c>
      <c r="G81">
        <v>369.9</v>
      </c>
    </row>
    <row r="82" spans="1:7" x14ac:dyDescent="0.3">
      <c r="A82">
        <v>90</v>
      </c>
      <c r="B82">
        <v>10</v>
      </c>
      <c r="C82">
        <v>542.97500000000002</v>
      </c>
      <c r="D82">
        <v>4.41</v>
      </c>
      <c r="E82">
        <v>3.2</v>
      </c>
      <c r="F82">
        <v>371</v>
      </c>
      <c r="G82">
        <v>374.2</v>
      </c>
    </row>
    <row r="83" spans="1:7" x14ac:dyDescent="0.3">
      <c r="A83">
        <v>90</v>
      </c>
      <c r="B83">
        <v>20</v>
      </c>
      <c r="C83">
        <v>496.69499999999999</v>
      </c>
      <c r="D83">
        <v>4.7300000000000004</v>
      </c>
      <c r="E83">
        <v>2.4</v>
      </c>
      <c r="F83">
        <v>375.4</v>
      </c>
      <c r="G83">
        <v>377.8</v>
      </c>
    </row>
    <row r="84" spans="1:7" x14ac:dyDescent="0.3">
      <c r="A84">
        <v>90</v>
      </c>
      <c r="B84">
        <v>30</v>
      </c>
      <c r="C84">
        <v>466.24</v>
      </c>
      <c r="D84">
        <v>5.01</v>
      </c>
      <c r="E84">
        <v>1.9</v>
      </c>
      <c r="F84">
        <v>378.9</v>
      </c>
      <c r="G84">
        <v>380.8</v>
      </c>
    </row>
    <row r="85" spans="1:7" x14ac:dyDescent="0.3">
      <c r="A85">
        <v>90</v>
      </c>
      <c r="B85">
        <v>40</v>
      </c>
      <c r="C85">
        <v>464.02499999999998</v>
      </c>
      <c r="D85">
        <v>5.0549999999999997</v>
      </c>
      <c r="E85">
        <v>1.7</v>
      </c>
      <c r="F85">
        <v>381.9</v>
      </c>
      <c r="G85">
        <v>383.6</v>
      </c>
    </row>
    <row r="86" spans="1:7" x14ac:dyDescent="0.3">
      <c r="A86">
        <v>90</v>
      </c>
      <c r="B86">
        <v>50</v>
      </c>
      <c r="C86">
        <v>434.83</v>
      </c>
      <c r="D86">
        <v>4.7149999999999999</v>
      </c>
      <c r="E86">
        <v>1.5</v>
      </c>
      <c r="F86">
        <v>384.7</v>
      </c>
      <c r="G86">
        <v>386.2</v>
      </c>
    </row>
    <row r="87" spans="1:7" x14ac:dyDescent="0.3">
      <c r="A87">
        <v>90</v>
      </c>
      <c r="B87">
        <v>60</v>
      </c>
      <c r="C87">
        <v>437.11500000000001</v>
      </c>
      <c r="D87">
        <v>6.3849999999999998</v>
      </c>
      <c r="E87">
        <v>1.4</v>
      </c>
      <c r="F87">
        <v>387.3</v>
      </c>
      <c r="G87">
        <v>388.7</v>
      </c>
    </row>
    <row r="88" spans="1:7" x14ac:dyDescent="0.3">
      <c r="A88">
        <v>90</v>
      </c>
      <c r="B88">
        <v>70</v>
      </c>
      <c r="C88">
        <v>424.33</v>
      </c>
      <c r="D88">
        <v>5.82</v>
      </c>
      <c r="E88">
        <v>1.3</v>
      </c>
      <c r="F88">
        <v>389.9</v>
      </c>
      <c r="G88">
        <v>391.2</v>
      </c>
    </row>
    <row r="89" spans="1:7" x14ac:dyDescent="0.3">
      <c r="A89">
        <v>90</v>
      </c>
      <c r="B89">
        <v>80</v>
      </c>
      <c r="C89">
        <v>417.75</v>
      </c>
      <c r="D89">
        <v>6.36</v>
      </c>
      <c r="E89">
        <v>1.3</v>
      </c>
      <c r="F89">
        <v>392.4</v>
      </c>
      <c r="G89">
        <v>393.7</v>
      </c>
    </row>
    <row r="90" spans="1:7" x14ac:dyDescent="0.3">
      <c r="A90">
        <v>90</v>
      </c>
      <c r="B90">
        <v>90</v>
      </c>
      <c r="C90">
        <v>426.66</v>
      </c>
      <c r="D90">
        <v>7.8650000000000002</v>
      </c>
      <c r="E90">
        <v>1.3</v>
      </c>
      <c r="F90">
        <v>394.8</v>
      </c>
      <c r="G90">
        <v>396.1</v>
      </c>
    </row>
    <row r="91" spans="1:7" x14ac:dyDescent="0.3">
      <c r="A91">
        <v>90</v>
      </c>
      <c r="B91">
        <v>100</v>
      </c>
      <c r="C91">
        <v>434.69</v>
      </c>
      <c r="D91">
        <v>8.8650000000000002</v>
      </c>
      <c r="E91">
        <v>1.3</v>
      </c>
      <c r="F91">
        <v>397.2</v>
      </c>
      <c r="G91">
        <v>398.5</v>
      </c>
    </row>
    <row r="92" spans="1:7" x14ac:dyDescent="0.3">
      <c r="A92">
        <v>100</v>
      </c>
      <c r="B92">
        <v>10</v>
      </c>
      <c r="C92">
        <v>553.22500000000002</v>
      </c>
      <c r="D92">
        <v>4.2549999999999999</v>
      </c>
      <c r="E92">
        <v>3.3</v>
      </c>
      <c r="F92">
        <v>399.6</v>
      </c>
      <c r="G92">
        <v>402.9</v>
      </c>
    </row>
    <row r="93" spans="1:7" x14ac:dyDescent="0.3">
      <c r="A93">
        <v>100</v>
      </c>
      <c r="B93">
        <v>20</v>
      </c>
      <c r="C93">
        <v>481.10500000000002</v>
      </c>
      <c r="D93">
        <v>5.0350000000000001</v>
      </c>
      <c r="E93">
        <v>2.2999999999999998</v>
      </c>
      <c r="F93">
        <v>404</v>
      </c>
      <c r="G93">
        <v>406.3</v>
      </c>
    </row>
    <row r="94" spans="1:7" x14ac:dyDescent="0.3">
      <c r="A94">
        <v>100</v>
      </c>
      <c r="B94">
        <v>30</v>
      </c>
      <c r="C94">
        <v>455.73</v>
      </c>
      <c r="D94">
        <v>4.6550000000000002</v>
      </c>
      <c r="E94">
        <v>1.9</v>
      </c>
      <c r="F94">
        <v>407.4</v>
      </c>
      <c r="G94">
        <v>409.3</v>
      </c>
    </row>
    <row r="95" spans="1:7" x14ac:dyDescent="0.3">
      <c r="A95">
        <v>100</v>
      </c>
      <c r="B95">
        <v>40</v>
      </c>
      <c r="C95">
        <v>442.82499999999999</v>
      </c>
      <c r="D95">
        <v>5.3650000000000002</v>
      </c>
      <c r="E95">
        <v>1.7</v>
      </c>
      <c r="F95">
        <v>410.3</v>
      </c>
      <c r="G95">
        <v>412</v>
      </c>
    </row>
    <row r="96" spans="1:7" x14ac:dyDescent="0.3">
      <c r="A96">
        <v>100</v>
      </c>
      <c r="B96">
        <v>50</v>
      </c>
      <c r="C96">
        <v>449.61500000000001</v>
      </c>
      <c r="D96">
        <v>5.0599999999999996</v>
      </c>
      <c r="E96">
        <v>1.4</v>
      </c>
      <c r="F96">
        <v>413.1</v>
      </c>
      <c r="G96">
        <v>414.5</v>
      </c>
    </row>
    <row r="97" spans="1:7" x14ac:dyDescent="0.3">
      <c r="A97">
        <v>100</v>
      </c>
      <c r="B97">
        <v>60</v>
      </c>
      <c r="C97">
        <v>424.51</v>
      </c>
      <c r="D97">
        <v>5.6449999999999996</v>
      </c>
      <c r="E97">
        <v>1.4</v>
      </c>
      <c r="F97">
        <v>415.6</v>
      </c>
      <c r="G97">
        <v>417</v>
      </c>
    </row>
    <row r="98" spans="1:7" x14ac:dyDescent="0.3">
      <c r="A98">
        <v>100</v>
      </c>
      <c r="B98">
        <v>70</v>
      </c>
      <c r="C98">
        <v>420.73500000000001</v>
      </c>
      <c r="D98">
        <v>6.2850000000000001</v>
      </c>
      <c r="E98">
        <v>1.3</v>
      </c>
      <c r="F98">
        <v>418.1</v>
      </c>
      <c r="G98">
        <v>419.4</v>
      </c>
    </row>
    <row r="99" spans="1:7" x14ac:dyDescent="0.3">
      <c r="A99">
        <v>100</v>
      </c>
      <c r="B99">
        <v>80</v>
      </c>
      <c r="C99">
        <v>437.86</v>
      </c>
      <c r="D99">
        <v>7.77</v>
      </c>
      <c r="E99">
        <v>1.3</v>
      </c>
      <c r="F99">
        <v>420.5</v>
      </c>
      <c r="G99">
        <v>421.8</v>
      </c>
    </row>
    <row r="100" spans="1:7" x14ac:dyDescent="0.3">
      <c r="A100">
        <v>100</v>
      </c>
      <c r="B100">
        <v>90</v>
      </c>
      <c r="C100">
        <v>428.54500000000002</v>
      </c>
      <c r="D100">
        <v>10.955</v>
      </c>
      <c r="E100">
        <v>1.2</v>
      </c>
      <c r="F100">
        <v>422.9</v>
      </c>
      <c r="G100">
        <v>424.1</v>
      </c>
    </row>
    <row r="101" spans="1:7" x14ac:dyDescent="0.3">
      <c r="A101">
        <v>100</v>
      </c>
      <c r="B101">
        <v>100</v>
      </c>
      <c r="C101">
        <v>422.38</v>
      </c>
      <c r="D101">
        <v>33.185000000000002</v>
      </c>
      <c r="E101">
        <v>1.2</v>
      </c>
      <c r="F101">
        <v>425.2</v>
      </c>
      <c r="G101">
        <v>426.4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16E01-DB81-401C-A8AD-D3324742A9A4}">
  <dimension ref="A1:H101"/>
  <sheetViews>
    <sheetView zoomScale="43" workbookViewId="0">
      <selection sqref="A1:H1048576"/>
    </sheetView>
  </sheetViews>
  <sheetFormatPr defaultRowHeight="14.4" x14ac:dyDescent="0.3"/>
  <cols>
    <col min="1" max="1" width="7.5546875" bestFit="1" customWidth="1"/>
    <col min="2" max="2" width="6.77734375" bestFit="1" customWidth="1"/>
    <col min="3" max="3" width="17.44140625" customWidth="1"/>
    <col min="4" max="4" width="16.88671875" bestFit="1" customWidth="1"/>
    <col min="5" max="5" width="19" bestFit="1" customWidth="1"/>
    <col min="6" max="6" width="15.33203125" bestFit="1" customWidth="1"/>
    <col min="7" max="7" width="14.33203125" bestFit="1" customWidth="1"/>
    <col min="8" max="8" width="12.21875" customWidth="1"/>
  </cols>
  <sheetData>
    <row r="1" spans="1:8" x14ac:dyDescent="0.3">
      <c r="A1" t="s">
        <v>16</v>
      </c>
      <c r="B1" t="s">
        <v>17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14</v>
      </c>
    </row>
    <row r="2" spans="1:8" x14ac:dyDescent="0.3">
      <c r="A2">
        <v>10</v>
      </c>
      <c r="B2">
        <v>10</v>
      </c>
      <c r="C2">
        <v>1080.5999999999999</v>
      </c>
      <c r="D2">
        <v>5.1100000000000003</v>
      </c>
      <c r="E2">
        <v>9.1999999999999993</v>
      </c>
      <c r="F2">
        <v>6.4</v>
      </c>
      <c r="G2">
        <v>15.6</v>
      </c>
      <c r="H2">
        <v>9.6389999999999993</v>
      </c>
    </row>
    <row r="3" spans="1:8" x14ac:dyDescent="0.3">
      <c r="A3">
        <v>10</v>
      </c>
      <c r="B3">
        <v>20</v>
      </c>
      <c r="C3">
        <v>1053.04</v>
      </c>
      <c r="D3">
        <v>5.125</v>
      </c>
      <c r="E3">
        <v>8.9</v>
      </c>
      <c r="F3">
        <v>17</v>
      </c>
      <c r="G3">
        <v>25.9</v>
      </c>
      <c r="H3">
        <v>9.1419999999999995</v>
      </c>
    </row>
    <row r="4" spans="1:8" x14ac:dyDescent="0.3">
      <c r="A4">
        <v>10</v>
      </c>
      <c r="B4">
        <v>30</v>
      </c>
      <c r="C4">
        <v>1052.57</v>
      </c>
      <c r="D4">
        <v>4.49</v>
      </c>
      <c r="E4">
        <v>8.9</v>
      </c>
      <c r="F4">
        <v>27.1</v>
      </c>
      <c r="G4">
        <v>36</v>
      </c>
      <c r="H4">
        <v>8.9719999999999995</v>
      </c>
    </row>
    <row r="5" spans="1:8" x14ac:dyDescent="0.3">
      <c r="A5">
        <v>10</v>
      </c>
      <c r="B5">
        <v>40</v>
      </c>
      <c r="C5">
        <v>1054.6949999999999</v>
      </c>
      <c r="D5">
        <v>4.5199999999999996</v>
      </c>
      <c r="E5">
        <v>8.9</v>
      </c>
      <c r="F5">
        <v>37</v>
      </c>
      <c r="G5">
        <v>45.9</v>
      </c>
      <c r="H5">
        <v>8.8859999999999992</v>
      </c>
    </row>
    <row r="6" spans="1:8" x14ac:dyDescent="0.3">
      <c r="A6">
        <v>10</v>
      </c>
      <c r="B6">
        <v>50</v>
      </c>
      <c r="C6">
        <v>1046.855</v>
      </c>
      <c r="D6">
        <v>4.97</v>
      </c>
      <c r="E6">
        <v>8.8000000000000007</v>
      </c>
      <c r="F6">
        <v>46.9</v>
      </c>
      <c r="G6">
        <v>55.7</v>
      </c>
      <c r="H6">
        <v>8.8379999999999992</v>
      </c>
    </row>
    <row r="7" spans="1:8" x14ac:dyDescent="0.3">
      <c r="A7">
        <v>10</v>
      </c>
      <c r="B7">
        <v>60</v>
      </c>
      <c r="C7">
        <v>1050.375</v>
      </c>
      <c r="D7">
        <v>4.92</v>
      </c>
      <c r="E7">
        <v>8.8000000000000007</v>
      </c>
      <c r="F7">
        <v>56.8</v>
      </c>
      <c r="G7">
        <v>65.599999999999994</v>
      </c>
      <c r="H7">
        <v>8.8059999999999992</v>
      </c>
    </row>
    <row r="8" spans="1:8" x14ac:dyDescent="0.3">
      <c r="A8">
        <v>10</v>
      </c>
      <c r="B8">
        <v>70</v>
      </c>
      <c r="C8">
        <v>1048.175</v>
      </c>
      <c r="D8">
        <v>4.7649999999999997</v>
      </c>
      <c r="E8">
        <v>8.8000000000000007</v>
      </c>
      <c r="F8">
        <v>66.599999999999994</v>
      </c>
      <c r="G8">
        <v>75.400000000000006</v>
      </c>
      <c r="H8">
        <v>8.7829999999999995</v>
      </c>
    </row>
    <row r="9" spans="1:8" x14ac:dyDescent="0.3">
      <c r="A9">
        <v>10</v>
      </c>
      <c r="B9">
        <v>80</v>
      </c>
      <c r="C9">
        <v>1039.085</v>
      </c>
      <c r="D9">
        <v>5.1100000000000003</v>
      </c>
      <c r="E9">
        <v>8.6999999999999993</v>
      </c>
      <c r="F9">
        <v>76.400000000000006</v>
      </c>
      <c r="G9">
        <v>85.1</v>
      </c>
      <c r="H9">
        <v>8.7690000000000001</v>
      </c>
    </row>
    <row r="10" spans="1:8" x14ac:dyDescent="0.3">
      <c r="A10">
        <v>10</v>
      </c>
      <c r="B10">
        <v>90</v>
      </c>
      <c r="C10">
        <v>1050.625</v>
      </c>
      <c r="D10">
        <v>4.21</v>
      </c>
      <c r="E10">
        <v>8.8000000000000007</v>
      </c>
      <c r="F10">
        <v>86.2</v>
      </c>
      <c r="G10">
        <v>95</v>
      </c>
      <c r="H10">
        <v>8.7550000000000008</v>
      </c>
    </row>
    <row r="11" spans="1:8" x14ac:dyDescent="0.3">
      <c r="A11">
        <v>10</v>
      </c>
      <c r="B11">
        <v>100</v>
      </c>
      <c r="C11">
        <v>1048.3399999999999</v>
      </c>
      <c r="D11">
        <v>5.91</v>
      </c>
      <c r="E11">
        <v>8.8000000000000007</v>
      </c>
      <c r="F11">
        <v>95.9</v>
      </c>
      <c r="G11">
        <v>104.7</v>
      </c>
      <c r="H11">
        <v>8.7460000000000004</v>
      </c>
    </row>
    <row r="12" spans="1:8" x14ac:dyDescent="0.3">
      <c r="A12">
        <v>20</v>
      </c>
      <c r="B12">
        <v>10</v>
      </c>
      <c r="C12">
        <v>743.42</v>
      </c>
      <c r="D12">
        <v>4.915</v>
      </c>
      <c r="E12">
        <v>5.4</v>
      </c>
      <c r="F12">
        <v>105.9</v>
      </c>
      <c r="G12">
        <v>111.3</v>
      </c>
      <c r="H12">
        <v>5.7610000000000001</v>
      </c>
    </row>
    <row r="13" spans="1:8" x14ac:dyDescent="0.3">
      <c r="A13">
        <v>20</v>
      </c>
      <c r="B13">
        <v>20</v>
      </c>
      <c r="C13">
        <v>703.18</v>
      </c>
      <c r="D13">
        <v>4.8550000000000004</v>
      </c>
      <c r="E13">
        <v>5</v>
      </c>
      <c r="F13">
        <v>112.5</v>
      </c>
      <c r="G13">
        <v>117.5</v>
      </c>
      <c r="H13">
        <v>5.0579999999999998</v>
      </c>
    </row>
    <row r="14" spans="1:8" x14ac:dyDescent="0.3">
      <c r="A14">
        <v>20</v>
      </c>
      <c r="B14">
        <v>30</v>
      </c>
      <c r="C14">
        <v>670.33500000000004</v>
      </c>
      <c r="D14">
        <v>5.0750000000000002</v>
      </c>
      <c r="E14">
        <v>4.7</v>
      </c>
      <c r="F14">
        <v>118.6</v>
      </c>
      <c r="G14">
        <v>123.3</v>
      </c>
      <c r="H14">
        <v>4.8259999999999996</v>
      </c>
    </row>
    <row r="15" spans="1:8" x14ac:dyDescent="0.3">
      <c r="A15">
        <v>20</v>
      </c>
      <c r="B15">
        <v>40</v>
      </c>
      <c r="C15">
        <v>676.29499999999996</v>
      </c>
      <c r="D15">
        <v>4.82</v>
      </c>
      <c r="E15">
        <v>4.7</v>
      </c>
      <c r="F15">
        <v>124.4</v>
      </c>
      <c r="G15">
        <v>129.1</v>
      </c>
      <c r="H15">
        <v>4.7060000000000004</v>
      </c>
    </row>
    <row r="16" spans="1:8" x14ac:dyDescent="0.3">
      <c r="A16">
        <v>20</v>
      </c>
      <c r="B16">
        <v>50</v>
      </c>
      <c r="C16">
        <v>662.24</v>
      </c>
      <c r="D16">
        <v>5.5350000000000001</v>
      </c>
      <c r="E16">
        <v>4.5999999999999996</v>
      </c>
      <c r="F16">
        <v>130.1</v>
      </c>
      <c r="G16">
        <v>134.69999999999999</v>
      </c>
      <c r="H16">
        <v>4.6360000000000001</v>
      </c>
    </row>
    <row r="17" spans="1:8" x14ac:dyDescent="0.3">
      <c r="A17">
        <v>20</v>
      </c>
      <c r="B17">
        <v>60</v>
      </c>
      <c r="C17">
        <v>652.28499999999997</v>
      </c>
      <c r="D17">
        <v>5.4249999999999998</v>
      </c>
      <c r="E17">
        <v>4.5</v>
      </c>
      <c r="F17">
        <v>135.80000000000001</v>
      </c>
      <c r="G17">
        <v>140.30000000000001</v>
      </c>
      <c r="H17">
        <v>4.593</v>
      </c>
    </row>
    <row r="18" spans="1:8" x14ac:dyDescent="0.3">
      <c r="A18">
        <v>20</v>
      </c>
      <c r="B18">
        <v>70</v>
      </c>
      <c r="C18">
        <v>651.58000000000004</v>
      </c>
      <c r="D18">
        <v>4.78</v>
      </c>
      <c r="E18">
        <v>4.5</v>
      </c>
      <c r="F18">
        <v>141.4</v>
      </c>
      <c r="G18">
        <v>145.9</v>
      </c>
      <c r="H18">
        <v>4.5620000000000003</v>
      </c>
    </row>
    <row r="19" spans="1:8" x14ac:dyDescent="0.3">
      <c r="A19">
        <v>20</v>
      </c>
      <c r="B19">
        <v>80</v>
      </c>
      <c r="C19">
        <v>651.72</v>
      </c>
      <c r="D19">
        <v>5.0750000000000002</v>
      </c>
      <c r="E19">
        <v>4.5</v>
      </c>
      <c r="F19">
        <v>146.9</v>
      </c>
      <c r="G19">
        <v>151.4</v>
      </c>
      <c r="H19">
        <v>4.5439999999999996</v>
      </c>
    </row>
    <row r="20" spans="1:8" x14ac:dyDescent="0.3">
      <c r="A20">
        <v>20</v>
      </c>
      <c r="B20">
        <v>90</v>
      </c>
      <c r="C20">
        <v>649.97500000000002</v>
      </c>
      <c r="D20">
        <v>4.4950000000000001</v>
      </c>
      <c r="E20">
        <v>4.5</v>
      </c>
      <c r="F20">
        <v>152.5</v>
      </c>
      <c r="G20">
        <v>157</v>
      </c>
      <c r="H20">
        <v>4.53</v>
      </c>
    </row>
    <row r="21" spans="1:8" x14ac:dyDescent="0.3">
      <c r="A21">
        <v>20</v>
      </c>
      <c r="B21">
        <v>100</v>
      </c>
      <c r="C21">
        <v>648.62</v>
      </c>
      <c r="D21">
        <v>5.45</v>
      </c>
      <c r="E21">
        <v>4.5</v>
      </c>
      <c r="F21">
        <v>158</v>
      </c>
      <c r="G21">
        <v>162.5</v>
      </c>
      <c r="H21">
        <v>4.5179999999999998</v>
      </c>
    </row>
    <row r="22" spans="1:8" x14ac:dyDescent="0.3">
      <c r="A22">
        <v>30</v>
      </c>
      <c r="B22">
        <v>10</v>
      </c>
      <c r="C22">
        <v>656.03</v>
      </c>
      <c r="D22">
        <v>5.0549999999999997</v>
      </c>
      <c r="E22">
        <v>4.4000000000000004</v>
      </c>
      <c r="F22">
        <v>163.6</v>
      </c>
      <c r="G22">
        <v>168</v>
      </c>
      <c r="H22">
        <v>4.6479999999999997</v>
      </c>
    </row>
    <row r="23" spans="1:8" x14ac:dyDescent="0.3">
      <c r="A23">
        <v>30</v>
      </c>
      <c r="B23">
        <v>20</v>
      </c>
      <c r="C23">
        <v>583.92499999999995</v>
      </c>
      <c r="D23">
        <v>5.12</v>
      </c>
      <c r="E23">
        <v>3.7</v>
      </c>
      <c r="F23">
        <v>169.2</v>
      </c>
      <c r="G23">
        <v>172.9</v>
      </c>
      <c r="H23">
        <v>3.7850000000000001</v>
      </c>
    </row>
    <row r="24" spans="1:8" x14ac:dyDescent="0.3">
      <c r="A24">
        <v>30</v>
      </c>
      <c r="B24">
        <v>30</v>
      </c>
      <c r="C24">
        <v>563.82500000000005</v>
      </c>
      <c r="D24">
        <v>5.3250000000000002</v>
      </c>
      <c r="E24">
        <v>3.4</v>
      </c>
      <c r="F24">
        <v>174</v>
      </c>
      <c r="G24">
        <v>177.4</v>
      </c>
      <c r="H24">
        <v>3.4990000000000001</v>
      </c>
    </row>
    <row r="25" spans="1:8" x14ac:dyDescent="0.3">
      <c r="A25">
        <v>30</v>
      </c>
      <c r="B25">
        <v>40</v>
      </c>
      <c r="C25">
        <v>545.4</v>
      </c>
      <c r="D25">
        <v>4.6950000000000003</v>
      </c>
      <c r="E25">
        <v>3.3</v>
      </c>
      <c r="F25">
        <v>178.5</v>
      </c>
      <c r="G25">
        <v>181.8</v>
      </c>
      <c r="H25">
        <v>3.3540000000000001</v>
      </c>
    </row>
    <row r="26" spans="1:8" x14ac:dyDescent="0.3">
      <c r="A26">
        <v>30</v>
      </c>
      <c r="B26">
        <v>50</v>
      </c>
      <c r="C26">
        <v>551.66</v>
      </c>
      <c r="D26">
        <v>4.57</v>
      </c>
      <c r="E26">
        <v>3.3</v>
      </c>
      <c r="F26">
        <v>182.8</v>
      </c>
      <c r="G26">
        <v>186.1</v>
      </c>
      <c r="H26">
        <v>3.2730000000000001</v>
      </c>
    </row>
    <row r="27" spans="1:8" x14ac:dyDescent="0.3">
      <c r="A27">
        <v>30</v>
      </c>
      <c r="B27">
        <v>60</v>
      </c>
      <c r="C27">
        <v>553.13499999999999</v>
      </c>
      <c r="D27">
        <v>5.2750000000000004</v>
      </c>
      <c r="E27">
        <v>3.2</v>
      </c>
      <c r="F27">
        <v>187.1</v>
      </c>
      <c r="G27">
        <v>190.3</v>
      </c>
      <c r="H27">
        <v>3.222</v>
      </c>
    </row>
    <row r="28" spans="1:8" x14ac:dyDescent="0.3">
      <c r="A28">
        <v>30</v>
      </c>
      <c r="B28">
        <v>70</v>
      </c>
      <c r="C28">
        <v>534.17499999999995</v>
      </c>
      <c r="D28">
        <v>4.46</v>
      </c>
      <c r="E28">
        <v>3.1</v>
      </c>
      <c r="F28">
        <v>191.4</v>
      </c>
      <c r="G28">
        <v>194.5</v>
      </c>
      <c r="H28">
        <v>3.1840000000000002</v>
      </c>
    </row>
    <row r="29" spans="1:8" x14ac:dyDescent="0.3">
      <c r="A29">
        <v>30</v>
      </c>
      <c r="B29">
        <v>80</v>
      </c>
      <c r="C29">
        <v>550.08000000000004</v>
      </c>
      <c r="D29">
        <v>5.6150000000000002</v>
      </c>
      <c r="E29">
        <v>3.2</v>
      </c>
      <c r="F29">
        <v>195.5</v>
      </c>
      <c r="G29">
        <v>198.7</v>
      </c>
      <c r="H29">
        <v>3.16</v>
      </c>
    </row>
    <row r="30" spans="1:8" x14ac:dyDescent="0.3">
      <c r="A30">
        <v>30</v>
      </c>
      <c r="B30">
        <v>90</v>
      </c>
      <c r="C30">
        <v>529.25</v>
      </c>
      <c r="D30">
        <v>3.9750000000000001</v>
      </c>
      <c r="E30">
        <v>3.1</v>
      </c>
      <c r="F30">
        <v>199.8</v>
      </c>
      <c r="G30">
        <v>202.9</v>
      </c>
      <c r="H30">
        <v>3.1429999999999998</v>
      </c>
    </row>
    <row r="31" spans="1:8" x14ac:dyDescent="0.3">
      <c r="A31">
        <v>30</v>
      </c>
      <c r="B31">
        <v>100</v>
      </c>
      <c r="C31">
        <v>555.21</v>
      </c>
      <c r="D31">
        <v>5.37</v>
      </c>
      <c r="E31">
        <v>3.2</v>
      </c>
      <c r="F31">
        <v>203.8</v>
      </c>
      <c r="G31">
        <v>207</v>
      </c>
      <c r="H31">
        <v>3.1280000000000001</v>
      </c>
    </row>
    <row r="32" spans="1:8" x14ac:dyDescent="0.3">
      <c r="A32">
        <v>40</v>
      </c>
      <c r="B32">
        <v>10</v>
      </c>
      <c r="C32">
        <v>620.88</v>
      </c>
      <c r="D32">
        <v>4.97</v>
      </c>
      <c r="E32">
        <v>4</v>
      </c>
      <c r="F32">
        <v>208.1</v>
      </c>
      <c r="G32">
        <v>212.1</v>
      </c>
      <c r="H32">
        <v>4.2050000000000001</v>
      </c>
    </row>
    <row r="33" spans="1:8" x14ac:dyDescent="0.3">
      <c r="A33">
        <v>40</v>
      </c>
      <c r="B33">
        <v>20</v>
      </c>
      <c r="C33">
        <v>546.66499999999996</v>
      </c>
      <c r="D33">
        <v>4.8449999999999998</v>
      </c>
      <c r="E33">
        <v>3.1</v>
      </c>
      <c r="F33">
        <v>213.3</v>
      </c>
      <c r="G33">
        <v>216.4</v>
      </c>
      <c r="H33">
        <v>3.2050000000000001</v>
      </c>
    </row>
    <row r="34" spans="1:8" x14ac:dyDescent="0.3">
      <c r="A34">
        <v>40</v>
      </c>
      <c r="B34">
        <v>30</v>
      </c>
      <c r="C34">
        <v>519.40499999999997</v>
      </c>
      <c r="D34">
        <v>5.0999999999999996</v>
      </c>
      <c r="E34">
        <v>2.8</v>
      </c>
      <c r="F34">
        <v>217.5</v>
      </c>
      <c r="G34">
        <v>220.3</v>
      </c>
      <c r="H34">
        <v>2.879</v>
      </c>
    </row>
    <row r="35" spans="1:8" x14ac:dyDescent="0.3">
      <c r="A35">
        <v>40</v>
      </c>
      <c r="B35">
        <v>40</v>
      </c>
      <c r="C35">
        <v>502.05500000000001</v>
      </c>
      <c r="D35">
        <v>5.4950000000000001</v>
      </c>
      <c r="E35">
        <v>2.7</v>
      </c>
      <c r="F35">
        <v>221.3</v>
      </c>
      <c r="G35">
        <v>224</v>
      </c>
      <c r="H35">
        <v>2.7050000000000001</v>
      </c>
    </row>
    <row r="36" spans="1:8" x14ac:dyDescent="0.3">
      <c r="A36">
        <v>40</v>
      </c>
      <c r="B36">
        <v>50</v>
      </c>
      <c r="C36">
        <v>500.8</v>
      </c>
      <c r="D36">
        <v>4.74</v>
      </c>
      <c r="E36">
        <v>2.6</v>
      </c>
      <c r="F36">
        <v>225.1</v>
      </c>
      <c r="G36">
        <v>227.7</v>
      </c>
      <c r="H36">
        <v>2.613</v>
      </c>
    </row>
    <row r="37" spans="1:8" x14ac:dyDescent="0.3">
      <c r="A37">
        <v>40</v>
      </c>
      <c r="B37">
        <v>60</v>
      </c>
      <c r="C37">
        <v>489.80500000000001</v>
      </c>
      <c r="D37">
        <v>5.2</v>
      </c>
      <c r="E37">
        <v>2.5</v>
      </c>
      <c r="F37">
        <v>228.7</v>
      </c>
      <c r="G37">
        <v>231.2</v>
      </c>
      <c r="H37">
        <v>2.552</v>
      </c>
    </row>
    <row r="38" spans="1:8" x14ac:dyDescent="0.3">
      <c r="A38">
        <v>40</v>
      </c>
      <c r="B38">
        <v>70</v>
      </c>
      <c r="C38">
        <v>469.005</v>
      </c>
      <c r="D38">
        <v>5.3550000000000004</v>
      </c>
      <c r="E38">
        <v>2.4</v>
      </c>
      <c r="F38">
        <v>232.3</v>
      </c>
      <c r="G38">
        <v>234.7</v>
      </c>
      <c r="H38">
        <v>2.5089999999999999</v>
      </c>
    </row>
    <row r="39" spans="1:8" x14ac:dyDescent="0.3">
      <c r="A39">
        <v>40</v>
      </c>
      <c r="B39">
        <v>80</v>
      </c>
      <c r="C39">
        <v>473.73</v>
      </c>
      <c r="D39">
        <v>4.4050000000000002</v>
      </c>
      <c r="E39">
        <v>2.4</v>
      </c>
      <c r="F39">
        <v>235.8</v>
      </c>
      <c r="G39">
        <v>238.2</v>
      </c>
      <c r="H39">
        <v>2.4849999999999999</v>
      </c>
    </row>
    <row r="40" spans="1:8" x14ac:dyDescent="0.3">
      <c r="A40">
        <v>40</v>
      </c>
      <c r="B40">
        <v>90</v>
      </c>
      <c r="C40">
        <v>488.1</v>
      </c>
      <c r="D40">
        <v>4.7350000000000003</v>
      </c>
      <c r="E40">
        <v>2.5</v>
      </c>
      <c r="F40">
        <v>239.2</v>
      </c>
      <c r="G40">
        <v>241.7</v>
      </c>
      <c r="H40">
        <v>2.4630000000000001</v>
      </c>
    </row>
    <row r="41" spans="1:8" x14ac:dyDescent="0.3">
      <c r="A41">
        <v>40</v>
      </c>
      <c r="B41">
        <v>100</v>
      </c>
      <c r="C41">
        <v>514.22500000000002</v>
      </c>
      <c r="D41">
        <v>5.415</v>
      </c>
      <c r="E41">
        <v>2.5</v>
      </c>
      <c r="F41">
        <v>242.7</v>
      </c>
      <c r="G41">
        <v>245.2</v>
      </c>
      <c r="H41">
        <v>2.4460000000000002</v>
      </c>
    </row>
    <row r="42" spans="1:8" x14ac:dyDescent="0.3">
      <c r="A42">
        <v>50</v>
      </c>
      <c r="B42">
        <v>10</v>
      </c>
      <c r="C42">
        <v>596.72500000000002</v>
      </c>
      <c r="D42">
        <v>5.3250000000000002</v>
      </c>
      <c r="E42">
        <v>3.7</v>
      </c>
      <c r="F42">
        <v>246.3</v>
      </c>
      <c r="G42">
        <v>250</v>
      </c>
      <c r="H42">
        <v>3.9769999999999999</v>
      </c>
    </row>
    <row r="43" spans="1:8" x14ac:dyDescent="0.3">
      <c r="A43">
        <v>50</v>
      </c>
      <c r="B43">
        <v>20</v>
      </c>
      <c r="C43">
        <v>521.42999999999995</v>
      </c>
      <c r="D43">
        <v>4.92</v>
      </c>
      <c r="E43">
        <v>2.7</v>
      </c>
      <c r="F43">
        <v>251.3</v>
      </c>
      <c r="G43">
        <v>254</v>
      </c>
      <c r="H43">
        <v>2.8940000000000001</v>
      </c>
    </row>
    <row r="44" spans="1:8" x14ac:dyDescent="0.3">
      <c r="A44">
        <v>50</v>
      </c>
      <c r="B44">
        <v>30</v>
      </c>
      <c r="C44">
        <v>496.82</v>
      </c>
      <c r="D44">
        <v>5.18</v>
      </c>
      <c r="E44">
        <v>2.4</v>
      </c>
      <c r="F44">
        <v>255.1</v>
      </c>
      <c r="G44">
        <v>257.5</v>
      </c>
      <c r="H44">
        <v>2.5230000000000001</v>
      </c>
    </row>
    <row r="45" spans="1:8" x14ac:dyDescent="0.3">
      <c r="A45">
        <v>50</v>
      </c>
      <c r="B45">
        <v>40</v>
      </c>
      <c r="C45">
        <v>498.45499999999998</v>
      </c>
      <c r="D45">
        <v>5.4450000000000003</v>
      </c>
      <c r="E45">
        <v>2.2999999999999998</v>
      </c>
      <c r="F45">
        <v>258.60000000000002</v>
      </c>
      <c r="G45">
        <v>260.89999999999998</v>
      </c>
      <c r="H45">
        <v>2.339</v>
      </c>
    </row>
    <row r="46" spans="1:8" x14ac:dyDescent="0.3">
      <c r="A46">
        <v>50</v>
      </c>
      <c r="B46">
        <v>50</v>
      </c>
      <c r="C46">
        <v>488.54500000000002</v>
      </c>
      <c r="D46">
        <v>4.7549999999999999</v>
      </c>
      <c r="E46">
        <v>2.2000000000000002</v>
      </c>
      <c r="F46">
        <v>262</v>
      </c>
      <c r="G46">
        <v>264.2</v>
      </c>
      <c r="H46">
        <v>2.23</v>
      </c>
    </row>
    <row r="47" spans="1:8" x14ac:dyDescent="0.3">
      <c r="A47">
        <v>50</v>
      </c>
      <c r="B47">
        <v>60</v>
      </c>
      <c r="C47">
        <v>490.7</v>
      </c>
      <c r="D47">
        <v>4.72</v>
      </c>
      <c r="E47">
        <v>2.2000000000000002</v>
      </c>
      <c r="F47">
        <v>265.2</v>
      </c>
      <c r="G47">
        <v>267.39999999999998</v>
      </c>
      <c r="H47">
        <v>2.165</v>
      </c>
    </row>
    <row r="48" spans="1:8" x14ac:dyDescent="0.3">
      <c r="A48">
        <v>50</v>
      </c>
      <c r="B48">
        <v>70</v>
      </c>
      <c r="C48">
        <v>484.76</v>
      </c>
      <c r="D48">
        <v>4.93</v>
      </c>
      <c r="E48">
        <v>2.1</v>
      </c>
      <c r="F48">
        <v>268.39999999999998</v>
      </c>
      <c r="G48">
        <v>270.5</v>
      </c>
      <c r="H48">
        <v>2.117</v>
      </c>
    </row>
    <row r="49" spans="1:8" x14ac:dyDescent="0.3">
      <c r="A49">
        <v>50</v>
      </c>
      <c r="B49">
        <v>80</v>
      </c>
      <c r="C49">
        <v>476.28</v>
      </c>
      <c r="D49">
        <v>5.125</v>
      </c>
      <c r="E49">
        <v>2</v>
      </c>
      <c r="F49">
        <v>271.5</v>
      </c>
      <c r="G49">
        <v>273.5</v>
      </c>
      <c r="H49">
        <v>2.0880000000000001</v>
      </c>
    </row>
    <row r="50" spans="1:8" x14ac:dyDescent="0.3">
      <c r="A50">
        <v>50</v>
      </c>
      <c r="B50">
        <v>90</v>
      </c>
      <c r="C50">
        <v>473.02</v>
      </c>
      <c r="D50">
        <v>5.085</v>
      </c>
      <c r="E50">
        <v>2</v>
      </c>
      <c r="F50">
        <v>274.60000000000002</v>
      </c>
      <c r="G50">
        <v>276.60000000000002</v>
      </c>
      <c r="H50">
        <v>2.0659999999999998</v>
      </c>
    </row>
    <row r="51" spans="1:8" x14ac:dyDescent="0.3">
      <c r="A51">
        <v>50</v>
      </c>
      <c r="B51">
        <v>100</v>
      </c>
      <c r="C51">
        <v>476.62</v>
      </c>
      <c r="D51">
        <v>5.8650000000000002</v>
      </c>
      <c r="E51">
        <v>2</v>
      </c>
      <c r="F51">
        <v>277.7</v>
      </c>
      <c r="G51">
        <v>279.7</v>
      </c>
      <c r="H51">
        <v>2.0419999999999998</v>
      </c>
    </row>
    <row r="52" spans="1:8" x14ac:dyDescent="0.3">
      <c r="A52">
        <v>60</v>
      </c>
      <c r="B52">
        <v>10</v>
      </c>
      <c r="C52">
        <v>587.86</v>
      </c>
      <c r="D52">
        <v>4.9649999999999999</v>
      </c>
      <c r="E52">
        <v>3.5</v>
      </c>
      <c r="F52">
        <v>280.89999999999998</v>
      </c>
      <c r="G52">
        <v>284.39999999999998</v>
      </c>
      <c r="H52">
        <v>3.802</v>
      </c>
    </row>
    <row r="53" spans="1:8" x14ac:dyDescent="0.3">
      <c r="A53">
        <v>60</v>
      </c>
      <c r="B53">
        <v>20</v>
      </c>
      <c r="C53">
        <v>533.71</v>
      </c>
      <c r="D53">
        <v>5.0449999999999999</v>
      </c>
      <c r="E53">
        <v>2.6</v>
      </c>
      <c r="F53">
        <v>285.60000000000002</v>
      </c>
      <c r="G53">
        <v>288.2</v>
      </c>
      <c r="H53">
        <v>2.7170000000000001</v>
      </c>
    </row>
    <row r="54" spans="1:8" x14ac:dyDescent="0.3">
      <c r="A54">
        <v>60</v>
      </c>
      <c r="B54">
        <v>30</v>
      </c>
      <c r="C54">
        <v>511.73500000000001</v>
      </c>
      <c r="D54">
        <v>4.8250000000000002</v>
      </c>
      <c r="E54">
        <v>2.2999999999999998</v>
      </c>
      <c r="F54">
        <v>289.3</v>
      </c>
      <c r="G54">
        <v>291.60000000000002</v>
      </c>
      <c r="H54">
        <v>2.3119999999999998</v>
      </c>
    </row>
    <row r="55" spans="1:8" x14ac:dyDescent="0.3">
      <c r="A55">
        <v>60</v>
      </c>
      <c r="B55">
        <v>40</v>
      </c>
      <c r="C55">
        <v>498.52499999999998</v>
      </c>
      <c r="D55">
        <v>4.5549999999999997</v>
      </c>
      <c r="E55">
        <v>2.1</v>
      </c>
      <c r="F55">
        <v>292.60000000000002</v>
      </c>
      <c r="G55">
        <v>294.7</v>
      </c>
      <c r="H55">
        <v>2.105</v>
      </c>
    </row>
    <row r="56" spans="1:8" x14ac:dyDescent="0.3">
      <c r="A56">
        <v>60</v>
      </c>
      <c r="B56">
        <v>50</v>
      </c>
      <c r="C56">
        <v>471.39</v>
      </c>
      <c r="D56">
        <v>5.16</v>
      </c>
      <c r="E56">
        <v>2</v>
      </c>
      <c r="F56">
        <v>295.7</v>
      </c>
      <c r="G56">
        <v>297.7</v>
      </c>
      <c r="H56">
        <v>1.9890000000000001</v>
      </c>
    </row>
    <row r="57" spans="1:8" x14ac:dyDescent="0.3">
      <c r="A57">
        <v>60</v>
      </c>
      <c r="B57">
        <v>60</v>
      </c>
      <c r="C57">
        <v>481.95499999999998</v>
      </c>
      <c r="D57">
        <v>4.7699999999999996</v>
      </c>
      <c r="E57">
        <v>1.8</v>
      </c>
      <c r="F57">
        <v>298.8</v>
      </c>
      <c r="G57">
        <v>300.60000000000002</v>
      </c>
      <c r="H57">
        <v>1.915</v>
      </c>
    </row>
    <row r="58" spans="1:8" x14ac:dyDescent="0.3">
      <c r="A58">
        <v>60</v>
      </c>
      <c r="B58">
        <v>70</v>
      </c>
      <c r="C58">
        <v>446.3</v>
      </c>
      <c r="D58">
        <v>5.44</v>
      </c>
      <c r="E58">
        <v>1.8</v>
      </c>
      <c r="F58">
        <v>301.60000000000002</v>
      </c>
      <c r="G58">
        <v>303.39999999999998</v>
      </c>
      <c r="H58">
        <v>1.865</v>
      </c>
    </row>
    <row r="59" spans="1:8" x14ac:dyDescent="0.3">
      <c r="A59">
        <v>60</v>
      </c>
      <c r="B59">
        <v>80</v>
      </c>
      <c r="C59">
        <v>439.54500000000002</v>
      </c>
      <c r="D59">
        <v>4.7949999999999999</v>
      </c>
      <c r="E59">
        <v>1.8</v>
      </c>
      <c r="F59">
        <v>304.5</v>
      </c>
      <c r="G59">
        <v>306.3</v>
      </c>
      <c r="H59">
        <v>1.829</v>
      </c>
    </row>
    <row r="60" spans="1:8" x14ac:dyDescent="0.3">
      <c r="A60">
        <v>60</v>
      </c>
      <c r="B60">
        <v>90</v>
      </c>
      <c r="C60">
        <v>446.935</v>
      </c>
      <c r="D60">
        <v>5.31</v>
      </c>
      <c r="E60">
        <v>1.8</v>
      </c>
      <c r="F60">
        <v>307.3</v>
      </c>
      <c r="G60">
        <v>309.10000000000002</v>
      </c>
      <c r="H60">
        <v>1.8029999999999999</v>
      </c>
    </row>
    <row r="61" spans="1:8" x14ac:dyDescent="0.3">
      <c r="A61">
        <v>60</v>
      </c>
      <c r="B61">
        <v>100</v>
      </c>
      <c r="C61">
        <v>432.5</v>
      </c>
      <c r="D61">
        <v>6.39</v>
      </c>
      <c r="E61">
        <v>1.7</v>
      </c>
      <c r="F61">
        <v>310.2</v>
      </c>
      <c r="G61">
        <v>311.89999999999998</v>
      </c>
      <c r="H61">
        <v>1.7829999999999999</v>
      </c>
    </row>
    <row r="62" spans="1:8" x14ac:dyDescent="0.3">
      <c r="A62">
        <v>70</v>
      </c>
      <c r="B62">
        <v>10</v>
      </c>
      <c r="C62">
        <v>565.58500000000004</v>
      </c>
      <c r="D62">
        <v>5.0599999999999996</v>
      </c>
      <c r="E62">
        <v>3.4</v>
      </c>
      <c r="F62">
        <v>313.10000000000002</v>
      </c>
      <c r="G62">
        <v>316.5</v>
      </c>
      <c r="H62">
        <v>3.661</v>
      </c>
    </row>
    <row r="63" spans="1:8" x14ac:dyDescent="0.3">
      <c r="A63">
        <v>70</v>
      </c>
      <c r="B63">
        <v>20</v>
      </c>
      <c r="C63">
        <v>504.255</v>
      </c>
      <c r="D63">
        <v>4.4800000000000004</v>
      </c>
      <c r="E63">
        <v>2.5</v>
      </c>
      <c r="F63">
        <v>317.7</v>
      </c>
      <c r="G63">
        <v>320.2</v>
      </c>
      <c r="H63">
        <v>2.6110000000000002</v>
      </c>
    </row>
    <row r="64" spans="1:8" x14ac:dyDescent="0.3">
      <c r="A64">
        <v>70</v>
      </c>
      <c r="B64">
        <v>30</v>
      </c>
      <c r="C64">
        <v>482.30500000000001</v>
      </c>
      <c r="D64">
        <v>5.2149999999999999</v>
      </c>
      <c r="E64">
        <v>2.1</v>
      </c>
      <c r="F64">
        <v>321.3</v>
      </c>
      <c r="G64">
        <v>323.39999999999998</v>
      </c>
      <c r="H64">
        <v>2.173</v>
      </c>
    </row>
    <row r="65" spans="1:8" x14ac:dyDescent="0.3">
      <c r="A65">
        <v>70</v>
      </c>
      <c r="B65">
        <v>40</v>
      </c>
      <c r="C65">
        <v>466.29500000000002</v>
      </c>
      <c r="D65">
        <v>5.1550000000000002</v>
      </c>
      <c r="E65">
        <v>1.8</v>
      </c>
      <c r="F65">
        <v>324.5</v>
      </c>
      <c r="G65">
        <v>326.3</v>
      </c>
      <c r="H65">
        <v>1.9510000000000001</v>
      </c>
    </row>
    <row r="66" spans="1:8" x14ac:dyDescent="0.3">
      <c r="A66">
        <v>70</v>
      </c>
      <c r="B66">
        <v>50</v>
      </c>
      <c r="C66">
        <v>469.47</v>
      </c>
      <c r="D66">
        <v>4.5549999999999997</v>
      </c>
      <c r="E66">
        <v>1.7</v>
      </c>
      <c r="F66">
        <v>327.39999999999998</v>
      </c>
      <c r="G66">
        <v>329.1</v>
      </c>
      <c r="H66">
        <v>1.8280000000000001</v>
      </c>
    </row>
    <row r="67" spans="1:8" x14ac:dyDescent="0.3">
      <c r="A67">
        <v>70</v>
      </c>
      <c r="B67">
        <v>60</v>
      </c>
      <c r="C67">
        <v>475.79500000000002</v>
      </c>
      <c r="D67">
        <v>5.19</v>
      </c>
      <c r="E67">
        <v>1.7</v>
      </c>
      <c r="F67">
        <v>330.2</v>
      </c>
      <c r="G67">
        <v>331.9</v>
      </c>
      <c r="H67">
        <v>1.744</v>
      </c>
    </row>
    <row r="68" spans="1:8" x14ac:dyDescent="0.3">
      <c r="A68">
        <v>70</v>
      </c>
      <c r="B68">
        <v>70</v>
      </c>
      <c r="C68">
        <v>465.45499999999998</v>
      </c>
      <c r="D68">
        <v>5.12</v>
      </c>
      <c r="E68">
        <v>1.6</v>
      </c>
      <c r="F68">
        <v>333</v>
      </c>
      <c r="G68">
        <v>334.6</v>
      </c>
      <c r="H68">
        <v>1.6910000000000001</v>
      </c>
    </row>
    <row r="69" spans="1:8" x14ac:dyDescent="0.3">
      <c r="A69">
        <v>70</v>
      </c>
      <c r="B69">
        <v>80</v>
      </c>
      <c r="C69">
        <v>468.03500000000003</v>
      </c>
      <c r="D69">
        <v>5.42</v>
      </c>
      <c r="E69">
        <v>1.6</v>
      </c>
      <c r="F69">
        <v>335.7</v>
      </c>
      <c r="G69">
        <v>337.3</v>
      </c>
      <c r="H69">
        <v>1.651</v>
      </c>
    </row>
    <row r="70" spans="1:8" x14ac:dyDescent="0.3">
      <c r="A70">
        <v>70</v>
      </c>
      <c r="B70">
        <v>90</v>
      </c>
      <c r="C70">
        <v>398.17500000000001</v>
      </c>
      <c r="D70">
        <v>5.4950000000000001</v>
      </c>
      <c r="E70">
        <v>1.5</v>
      </c>
      <c r="F70">
        <v>338.4</v>
      </c>
      <c r="G70">
        <v>339.9</v>
      </c>
      <c r="H70">
        <v>1.621</v>
      </c>
    </row>
    <row r="71" spans="1:8" x14ac:dyDescent="0.3">
      <c r="A71">
        <v>70</v>
      </c>
      <c r="B71">
        <v>100</v>
      </c>
      <c r="C71">
        <v>471.78500000000003</v>
      </c>
      <c r="D71">
        <v>6.9</v>
      </c>
      <c r="E71">
        <v>1.6</v>
      </c>
      <c r="F71">
        <v>340.9</v>
      </c>
      <c r="G71">
        <v>342.5</v>
      </c>
      <c r="H71">
        <v>1.601</v>
      </c>
    </row>
    <row r="72" spans="1:8" x14ac:dyDescent="0.3">
      <c r="A72">
        <v>80</v>
      </c>
      <c r="B72">
        <v>10</v>
      </c>
      <c r="C72">
        <v>553.16499999999996</v>
      </c>
      <c r="D72">
        <v>4.9349999999999996</v>
      </c>
      <c r="E72">
        <v>3.3</v>
      </c>
      <c r="F72">
        <v>343.7</v>
      </c>
      <c r="G72">
        <v>347</v>
      </c>
      <c r="H72">
        <v>3.5419999999999998</v>
      </c>
    </row>
    <row r="73" spans="1:8" x14ac:dyDescent="0.3">
      <c r="A73">
        <v>80</v>
      </c>
      <c r="B73">
        <v>20</v>
      </c>
      <c r="C73">
        <v>498.55500000000001</v>
      </c>
      <c r="D73">
        <v>4.79</v>
      </c>
      <c r="E73">
        <v>2.4</v>
      </c>
      <c r="F73">
        <v>348.2</v>
      </c>
      <c r="G73">
        <v>350.6</v>
      </c>
      <c r="H73">
        <v>2.5259999999999998</v>
      </c>
    </row>
    <row r="74" spans="1:8" x14ac:dyDescent="0.3">
      <c r="A74">
        <v>80</v>
      </c>
      <c r="B74">
        <v>30</v>
      </c>
      <c r="C74">
        <v>485.22500000000002</v>
      </c>
      <c r="D74">
        <v>5.01</v>
      </c>
      <c r="E74">
        <v>2</v>
      </c>
      <c r="F74">
        <v>351.7</v>
      </c>
      <c r="G74">
        <v>353.7</v>
      </c>
      <c r="H74">
        <v>2.0779999999999998</v>
      </c>
    </row>
    <row r="75" spans="1:8" x14ac:dyDescent="0.3">
      <c r="A75">
        <v>80</v>
      </c>
      <c r="B75">
        <v>40</v>
      </c>
      <c r="C75">
        <v>456.1</v>
      </c>
      <c r="D75">
        <v>4.665</v>
      </c>
      <c r="E75">
        <v>1.7</v>
      </c>
      <c r="F75">
        <v>354.8</v>
      </c>
      <c r="G75">
        <v>356.5</v>
      </c>
      <c r="H75">
        <v>1.841</v>
      </c>
    </row>
    <row r="76" spans="1:8" x14ac:dyDescent="0.3">
      <c r="A76">
        <v>80</v>
      </c>
      <c r="B76">
        <v>50</v>
      </c>
      <c r="C76">
        <v>464.03</v>
      </c>
      <c r="D76">
        <v>4.16</v>
      </c>
      <c r="E76">
        <v>1.7</v>
      </c>
      <c r="F76">
        <v>357.6</v>
      </c>
      <c r="G76">
        <v>359.3</v>
      </c>
      <c r="H76">
        <v>1.7110000000000001</v>
      </c>
    </row>
    <row r="77" spans="1:8" x14ac:dyDescent="0.3">
      <c r="A77">
        <v>80</v>
      </c>
      <c r="B77">
        <v>60</v>
      </c>
      <c r="C77">
        <v>462.245</v>
      </c>
      <c r="D77">
        <v>5.48</v>
      </c>
      <c r="E77">
        <v>1.6</v>
      </c>
      <c r="F77">
        <v>360.3</v>
      </c>
      <c r="G77">
        <v>361.9</v>
      </c>
      <c r="H77">
        <v>1.619</v>
      </c>
    </row>
    <row r="78" spans="1:8" x14ac:dyDescent="0.3">
      <c r="A78">
        <v>80</v>
      </c>
      <c r="B78">
        <v>70</v>
      </c>
      <c r="C78">
        <v>400.37</v>
      </c>
      <c r="D78">
        <v>5.335</v>
      </c>
      <c r="E78">
        <v>1.4</v>
      </c>
      <c r="F78">
        <v>363</v>
      </c>
      <c r="G78">
        <v>364.4</v>
      </c>
      <c r="H78">
        <v>1.5649999999999999</v>
      </c>
    </row>
    <row r="79" spans="1:8" x14ac:dyDescent="0.3">
      <c r="A79">
        <v>80</v>
      </c>
      <c r="B79">
        <v>80</v>
      </c>
      <c r="C79">
        <v>459.70499999999998</v>
      </c>
      <c r="D79">
        <v>6.09</v>
      </c>
      <c r="E79">
        <v>1.5</v>
      </c>
      <c r="F79">
        <v>365.5</v>
      </c>
      <c r="G79">
        <v>367</v>
      </c>
      <c r="H79">
        <v>1.524</v>
      </c>
    </row>
    <row r="80" spans="1:8" x14ac:dyDescent="0.3">
      <c r="A80">
        <v>80</v>
      </c>
      <c r="B80">
        <v>90</v>
      </c>
      <c r="C80">
        <v>438.93</v>
      </c>
      <c r="D80">
        <v>6.1849999999999996</v>
      </c>
      <c r="E80">
        <v>1.4</v>
      </c>
      <c r="F80">
        <v>368.1</v>
      </c>
      <c r="G80">
        <v>369.5</v>
      </c>
      <c r="H80">
        <v>1.496</v>
      </c>
    </row>
    <row r="81" spans="1:8" x14ac:dyDescent="0.3">
      <c r="A81">
        <v>80</v>
      </c>
      <c r="B81">
        <v>100</v>
      </c>
      <c r="C81">
        <v>413.30500000000001</v>
      </c>
      <c r="D81">
        <v>7.6</v>
      </c>
      <c r="E81">
        <v>1.4</v>
      </c>
      <c r="F81">
        <v>370.6</v>
      </c>
      <c r="G81">
        <v>372</v>
      </c>
      <c r="H81">
        <v>1.4690000000000001</v>
      </c>
    </row>
    <row r="82" spans="1:8" x14ac:dyDescent="0.3">
      <c r="A82">
        <v>90</v>
      </c>
      <c r="B82">
        <v>10</v>
      </c>
      <c r="C82">
        <v>537.25</v>
      </c>
      <c r="D82">
        <v>4.8150000000000004</v>
      </c>
      <c r="E82">
        <v>3.2</v>
      </c>
      <c r="F82">
        <v>373.2</v>
      </c>
      <c r="G82">
        <v>376.4</v>
      </c>
      <c r="H82">
        <v>3.4449999999999998</v>
      </c>
    </row>
    <row r="83" spans="1:8" x14ac:dyDescent="0.3">
      <c r="A83">
        <v>90</v>
      </c>
      <c r="B83">
        <v>20</v>
      </c>
      <c r="C83">
        <v>478.935</v>
      </c>
      <c r="D83">
        <v>4.9749999999999996</v>
      </c>
      <c r="E83">
        <v>2.2999999999999998</v>
      </c>
      <c r="F83">
        <v>377.6</v>
      </c>
      <c r="G83">
        <v>379.9</v>
      </c>
      <c r="H83">
        <v>2.4540000000000002</v>
      </c>
    </row>
    <row r="84" spans="1:8" x14ac:dyDescent="0.3">
      <c r="A84">
        <v>90</v>
      </c>
      <c r="B84">
        <v>30</v>
      </c>
      <c r="C84">
        <v>464.01</v>
      </c>
      <c r="D84">
        <v>5.81</v>
      </c>
      <c r="E84">
        <v>1.9</v>
      </c>
      <c r="F84">
        <v>381</v>
      </c>
      <c r="G84">
        <v>382.9</v>
      </c>
      <c r="H84">
        <v>2.0129999999999999</v>
      </c>
    </row>
    <row r="85" spans="1:8" x14ac:dyDescent="0.3">
      <c r="A85">
        <v>90</v>
      </c>
      <c r="B85">
        <v>40</v>
      </c>
      <c r="C85">
        <v>446.36500000000001</v>
      </c>
      <c r="D85">
        <v>5.2549999999999999</v>
      </c>
      <c r="E85">
        <v>1.6</v>
      </c>
      <c r="F85">
        <v>384.1</v>
      </c>
      <c r="G85">
        <v>385.7</v>
      </c>
      <c r="H85">
        <v>1.7649999999999999</v>
      </c>
    </row>
    <row r="86" spans="1:8" x14ac:dyDescent="0.3">
      <c r="A86">
        <v>90</v>
      </c>
      <c r="B86">
        <v>50</v>
      </c>
      <c r="C86">
        <v>425.935</v>
      </c>
      <c r="D86">
        <v>5.22</v>
      </c>
      <c r="E86">
        <v>1.5</v>
      </c>
      <c r="F86">
        <v>386.8</v>
      </c>
      <c r="G86">
        <v>388.3</v>
      </c>
      <c r="H86">
        <v>1.6259999999999999</v>
      </c>
    </row>
    <row r="87" spans="1:8" x14ac:dyDescent="0.3">
      <c r="A87">
        <v>90</v>
      </c>
      <c r="B87">
        <v>60</v>
      </c>
      <c r="C87">
        <v>428.35500000000002</v>
      </c>
      <c r="D87">
        <v>6.0750000000000002</v>
      </c>
      <c r="E87">
        <v>1.4</v>
      </c>
      <c r="F87">
        <v>389.4</v>
      </c>
      <c r="G87">
        <v>390.8</v>
      </c>
      <c r="H87">
        <v>1.5369999999999999</v>
      </c>
    </row>
    <row r="88" spans="1:8" x14ac:dyDescent="0.3">
      <c r="A88">
        <v>90</v>
      </c>
      <c r="B88">
        <v>70</v>
      </c>
      <c r="C88">
        <v>414.73500000000001</v>
      </c>
      <c r="D88">
        <v>6.44</v>
      </c>
      <c r="E88">
        <v>1.3</v>
      </c>
      <c r="F88">
        <v>392</v>
      </c>
      <c r="G88">
        <v>393.3</v>
      </c>
      <c r="H88">
        <v>1.4710000000000001</v>
      </c>
    </row>
    <row r="89" spans="1:8" x14ac:dyDescent="0.3">
      <c r="A89">
        <v>90</v>
      </c>
      <c r="B89">
        <v>80</v>
      </c>
      <c r="C89">
        <v>410.33499999999998</v>
      </c>
      <c r="D89">
        <v>6.5949999999999998</v>
      </c>
      <c r="E89">
        <v>1.3</v>
      </c>
      <c r="F89">
        <v>394.5</v>
      </c>
      <c r="G89">
        <v>395.8</v>
      </c>
      <c r="H89">
        <v>1.427</v>
      </c>
    </row>
    <row r="90" spans="1:8" x14ac:dyDescent="0.3">
      <c r="A90">
        <v>90</v>
      </c>
      <c r="B90">
        <v>90</v>
      </c>
      <c r="C90">
        <v>415.88499999999999</v>
      </c>
      <c r="D90">
        <v>9.3149999999999995</v>
      </c>
      <c r="E90">
        <v>1.3</v>
      </c>
      <c r="F90">
        <v>396.9</v>
      </c>
      <c r="G90">
        <v>398.2</v>
      </c>
      <c r="H90">
        <v>1.393</v>
      </c>
    </row>
    <row r="91" spans="1:8" x14ac:dyDescent="0.3">
      <c r="A91">
        <v>90</v>
      </c>
      <c r="B91">
        <v>100</v>
      </c>
      <c r="C91">
        <v>423.01</v>
      </c>
      <c r="D91">
        <v>10.125</v>
      </c>
      <c r="E91">
        <v>1.3</v>
      </c>
      <c r="F91">
        <v>399.3</v>
      </c>
      <c r="G91">
        <v>400.6</v>
      </c>
      <c r="H91">
        <v>1.363</v>
      </c>
    </row>
    <row r="92" spans="1:8" x14ac:dyDescent="0.3">
      <c r="A92">
        <v>100</v>
      </c>
      <c r="B92">
        <v>10</v>
      </c>
      <c r="C92">
        <v>521.65499999999997</v>
      </c>
      <c r="D92">
        <v>4.4950000000000001</v>
      </c>
      <c r="E92">
        <v>3.1</v>
      </c>
      <c r="F92">
        <v>401.8</v>
      </c>
      <c r="G92">
        <v>404.9</v>
      </c>
      <c r="H92">
        <v>3.411</v>
      </c>
    </row>
    <row r="93" spans="1:8" x14ac:dyDescent="0.3">
      <c r="A93">
        <v>100</v>
      </c>
      <c r="B93">
        <v>20</v>
      </c>
      <c r="C93">
        <v>483.55500000000001</v>
      </c>
      <c r="D93">
        <v>5.5</v>
      </c>
      <c r="E93">
        <v>2.4</v>
      </c>
      <c r="F93">
        <v>406.1</v>
      </c>
      <c r="G93">
        <v>408.5</v>
      </c>
      <c r="H93">
        <v>2.39</v>
      </c>
    </row>
    <row r="94" spans="1:8" x14ac:dyDescent="0.3">
      <c r="A94">
        <v>100</v>
      </c>
      <c r="B94">
        <v>30</v>
      </c>
      <c r="C94">
        <v>431.21</v>
      </c>
      <c r="D94">
        <v>5.12</v>
      </c>
      <c r="E94">
        <v>1.8</v>
      </c>
      <c r="F94">
        <v>409.6</v>
      </c>
      <c r="G94">
        <v>411.4</v>
      </c>
      <c r="H94">
        <v>1.9650000000000001</v>
      </c>
    </row>
    <row r="95" spans="1:8" x14ac:dyDescent="0.3">
      <c r="A95">
        <v>100</v>
      </c>
      <c r="B95">
        <v>40</v>
      </c>
      <c r="C95">
        <v>423.78</v>
      </c>
      <c r="D95">
        <v>5.22</v>
      </c>
      <c r="E95">
        <v>1.6</v>
      </c>
      <c r="F95">
        <v>412.5</v>
      </c>
      <c r="G95">
        <v>414.1</v>
      </c>
      <c r="H95">
        <v>1.7110000000000001</v>
      </c>
    </row>
    <row r="96" spans="1:8" x14ac:dyDescent="0.3">
      <c r="A96">
        <v>100</v>
      </c>
      <c r="B96">
        <v>50</v>
      </c>
      <c r="C96">
        <v>444.67500000000001</v>
      </c>
      <c r="D96">
        <v>5.9749999999999996</v>
      </c>
      <c r="E96">
        <v>1.4</v>
      </c>
      <c r="F96">
        <v>415.2</v>
      </c>
      <c r="G96">
        <v>416.6</v>
      </c>
      <c r="H96">
        <v>1.5649999999999999</v>
      </c>
    </row>
    <row r="97" spans="1:8" x14ac:dyDescent="0.3">
      <c r="A97">
        <v>100</v>
      </c>
      <c r="B97">
        <v>60</v>
      </c>
      <c r="C97">
        <v>414.10500000000002</v>
      </c>
      <c r="D97">
        <v>6.625</v>
      </c>
      <c r="E97">
        <v>1.3</v>
      </c>
      <c r="F97">
        <v>417.8</v>
      </c>
      <c r="G97">
        <v>419.1</v>
      </c>
      <c r="H97">
        <v>1.4650000000000001</v>
      </c>
    </row>
    <row r="98" spans="1:8" x14ac:dyDescent="0.3">
      <c r="A98">
        <v>100</v>
      </c>
      <c r="B98">
        <v>70</v>
      </c>
      <c r="C98">
        <v>404.31</v>
      </c>
      <c r="D98">
        <v>7.06</v>
      </c>
      <c r="E98">
        <v>1.2</v>
      </c>
      <c r="F98">
        <v>420.3</v>
      </c>
      <c r="G98">
        <v>421.5</v>
      </c>
      <c r="H98">
        <v>1.399</v>
      </c>
    </row>
    <row r="99" spans="1:8" x14ac:dyDescent="0.3">
      <c r="A99">
        <v>100</v>
      </c>
      <c r="B99">
        <v>80</v>
      </c>
      <c r="C99">
        <v>418.77499999999998</v>
      </c>
      <c r="D99">
        <v>8.76</v>
      </c>
      <c r="E99">
        <v>1.2</v>
      </c>
      <c r="F99">
        <v>422.7</v>
      </c>
      <c r="G99">
        <v>423.9</v>
      </c>
      <c r="H99">
        <v>1.351</v>
      </c>
    </row>
    <row r="100" spans="1:8" x14ac:dyDescent="0.3">
      <c r="A100">
        <v>100</v>
      </c>
      <c r="B100">
        <v>90</v>
      </c>
      <c r="C100">
        <v>430.78500000000003</v>
      </c>
      <c r="D100">
        <v>11.585000000000001</v>
      </c>
      <c r="E100">
        <v>1.2</v>
      </c>
      <c r="F100">
        <v>425</v>
      </c>
      <c r="G100">
        <v>426.2</v>
      </c>
      <c r="H100">
        <v>1.3140000000000001</v>
      </c>
    </row>
    <row r="101" spans="1:8" x14ac:dyDescent="0.3">
      <c r="A101">
        <v>100</v>
      </c>
      <c r="B101">
        <v>100</v>
      </c>
      <c r="C101">
        <v>415.09</v>
      </c>
      <c r="D101">
        <v>48.37</v>
      </c>
      <c r="E101">
        <v>1.2</v>
      </c>
      <c r="F101">
        <v>427.3</v>
      </c>
      <c r="G101">
        <v>428.5</v>
      </c>
      <c r="H101">
        <v>1.2869999999999999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7FD7B-8E14-4A22-AA9B-E0865E4178EE}">
  <dimension ref="A1:H101"/>
  <sheetViews>
    <sheetView topLeftCell="A49" workbookViewId="0">
      <selection activeCell="E67" sqref="E67"/>
    </sheetView>
  </sheetViews>
  <sheetFormatPr defaultRowHeight="14.4" x14ac:dyDescent="0.3"/>
  <cols>
    <col min="1" max="1" width="6" bestFit="1" customWidth="1"/>
    <col min="2" max="2" width="5.5546875" bestFit="1" customWidth="1"/>
    <col min="3" max="3" width="13.6640625" bestFit="1" customWidth="1"/>
    <col min="4" max="4" width="13.33203125" bestFit="1" customWidth="1"/>
    <col min="5" max="5" width="14.88671875" bestFit="1" customWidth="1"/>
    <col min="6" max="6" width="11.6640625" bestFit="1" customWidth="1"/>
    <col min="7" max="7" width="10.88671875" bestFit="1" customWidth="1"/>
  </cols>
  <sheetData>
    <row r="1" spans="1:8" x14ac:dyDescent="0.3">
      <c r="A1" t="s">
        <v>16</v>
      </c>
      <c r="B1" t="s">
        <v>17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14</v>
      </c>
    </row>
    <row r="2" spans="1:8" x14ac:dyDescent="0.3">
      <c r="A2">
        <v>10</v>
      </c>
      <c r="B2">
        <v>10</v>
      </c>
      <c r="C2">
        <v>1082.1949999999999</v>
      </c>
      <c r="D2">
        <v>5.2549999999999999</v>
      </c>
      <c r="E2">
        <v>9.1999999999999993</v>
      </c>
      <c r="F2">
        <v>8</v>
      </c>
      <c r="G2">
        <v>17.2</v>
      </c>
      <c r="H2">
        <v>9.6329999999999991</v>
      </c>
    </row>
    <row r="3" spans="1:8" x14ac:dyDescent="0.3">
      <c r="A3">
        <v>10</v>
      </c>
      <c r="B3">
        <v>20</v>
      </c>
      <c r="C3">
        <v>1065.2249999999999</v>
      </c>
      <c r="D3">
        <v>5.22</v>
      </c>
      <c r="E3">
        <v>9</v>
      </c>
      <c r="F3">
        <v>18.5</v>
      </c>
      <c r="G3">
        <v>27.5</v>
      </c>
      <c r="H3">
        <v>9.1379999999999999</v>
      </c>
    </row>
    <row r="4" spans="1:8" x14ac:dyDescent="0.3">
      <c r="A4">
        <v>10</v>
      </c>
      <c r="B4">
        <v>30</v>
      </c>
      <c r="C4">
        <v>1042.98</v>
      </c>
      <c r="D4">
        <v>5.04</v>
      </c>
      <c r="E4">
        <v>8.8000000000000007</v>
      </c>
      <c r="F4">
        <v>28.7</v>
      </c>
      <c r="G4">
        <v>37.5</v>
      </c>
      <c r="H4">
        <v>8.9700000000000006</v>
      </c>
    </row>
    <row r="5" spans="1:8" x14ac:dyDescent="0.3">
      <c r="A5">
        <v>10</v>
      </c>
      <c r="B5">
        <v>40</v>
      </c>
      <c r="C5">
        <v>1045.1949999999999</v>
      </c>
      <c r="D5">
        <v>4.8049999999999997</v>
      </c>
      <c r="E5">
        <v>8.8000000000000007</v>
      </c>
      <c r="F5">
        <v>38.6</v>
      </c>
      <c r="G5">
        <v>47.4</v>
      </c>
      <c r="H5">
        <v>8.8879999999999999</v>
      </c>
    </row>
    <row r="6" spans="1:8" x14ac:dyDescent="0.3">
      <c r="A6">
        <v>10</v>
      </c>
      <c r="B6">
        <v>50</v>
      </c>
      <c r="C6">
        <v>1045.73</v>
      </c>
      <c r="D6">
        <v>5.6050000000000004</v>
      </c>
      <c r="E6">
        <v>8.8000000000000007</v>
      </c>
      <c r="F6">
        <v>48.5</v>
      </c>
      <c r="G6">
        <v>57.3</v>
      </c>
      <c r="H6">
        <v>8.8409999999999993</v>
      </c>
    </row>
    <row r="7" spans="1:8" x14ac:dyDescent="0.3">
      <c r="A7">
        <v>10</v>
      </c>
      <c r="B7">
        <v>60</v>
      </c>
      <c r="C7">
        <v>1032.7349999999999</v>
      </c>
      <c r="D7">
        <v>5.0999999999999996</v>
      </c>
      <c r="E7">
        <v>8.6999999999999993</v>
      </c>
      <c r="F7">
        <v>58.4</v>
      </c>
      <c r="G7">
        <v>67.099999999999994</v>
      </c>
      <c r="H7">
        <v>8.7989999999999995</v>
      </c>
    </row>
    <row r="8" spans="1:8" x14ac:dyDescent="0.3">
      <c r="A8">
        <v>10</v>
      </c>
      <c r="B8">
        <v>70</v>
      </c>
      <c r="C8">
        <v>1041.2750000000001</v>
      </c>
      <c r="D8">
        <v>5.1349999999999998</v>
      </c>
      <c r="E8">
        <v>8.6999999999999993</v>
      </c>
      <c r="F8">
        <v>68.2</v>
      </c>
      <c r="G8">
        <v>76.900000000000006</v>
      </c>
      <c r="H8">
        <v>8.7799999999999994</v>
      </c>
    </row>
    <row r="9" spans="1:8" x14ac:dyDescent="0.3">
      <c r="A9">
        <v>10</v>
      </c>
      <c r="B9">
        <v>80</v>
      </c>
      <c r="C9">
        <v>1041.98</v>
      </c>
      <c r="D9">
        <v>5</v>
      </c>
      <c r="E9">
        <v>8.6999999999999993</v>
      </c>
      <c r="F9">
        <v>78</v>
      </c>
      <c r="G9">
        <v>86.7</v>
      </c>
      <c r="H9">
        <v>8.766</v>
      </c>
    </row>
    <row r="10" spans="1:8" x14ac:dyDescent="0.3">
      <c r="A10">
        <v>10</v>
      </c>
      <c r="B10">
        <v>90</v>
      </c>
      <c r="C10">
        <v>1050.9949999999999</v>
      </c>
      <c r="D10">
        <v>4.8949999999999996</v>
      </c>
      <c r="E10">
        <v>8.8000000000000007</v>
      </c>
      <c r="F10">
        <v>87.7</v>
      </c>
      <c r="G10">
        <v>96.5</v>
      </c>
      <c r="H10">
        <v>8.7539999999999996</v>
      </c>
    </row>
    <row r="11" spans="1:8" x14ac:dyDescent="0.3">
      <c r="A11">
        <v>10</v>
      </c>
      <c r="B11">
        <v>100</v>
      </c>
      <c r="C11">
        <v>1048.3</v>
      </c>
      <c r="D11">
        <v>6.085</v>
      </c>
      <c r="E11">
        <v>8.8000000000000007</v>
      </c>
      <c r="F11">
        <v>97.5</v>
      </c>
      <c r="G11">
        <v>106.3</v>
      </c>
      <c r="H11">
        <v>8.7460000000000004</v>
      </c>
    </row>
    <row r="12" spans="1:8" x14ac:dyDescent="0.3">
      <c r="A12">
        <v>20</v>
      </c>
      <c r="B12">
        <v>10</v>
      </c>
      <c r="C12">
        <v>727.495</v>
      </c>
      <c r="D12">
        <v>5</v>
      </c>
      <c r="E12">
        <v>5.3</v>
      </c>
      <c r="F12">
        <v>107.5</v>
      </c>
      <c r="G12">
        <v>112.8</v>
      </c>
      <c r="H12">
        <v>5.7610000000000001</v>
      </c>
    </row>
    <row r="13" spans="1:8" x14ac:dyDescent="0.3">
      <c r="A13">
        <v>20</v>
      </c>
      <c r="B13">
        <v>20</v>
      </c>
      <c r="C13">
        <v>688.74</v>
      </c>
      <c r="D13">
        <v>4.59</v>
      </c>
      <c r="E13">
        <v>4.9000000000000004</v>
      </c>
      <c r="F13">
        <v>114.1</v>
      </c>
      <c r="G13">
        <v>119</v>
      </c>
      <c r="H13">
        <v>5.0579999999999998</v>
      </c>
    </row>
    <row r="14" spans="1:8" x14ac:dyDescent="0.3">
      <c r="A14">
        <v>20</v>
      </c>
      <c r="B14">
        <v>30</v>
      </c>
      <c r="C14">
        <v>669.19500000000005</v>
      </c>
      <c r="D14">
        <v>4.8099999999999996</v>
      </c>
      <c r="E14">
        <v>4.7</v>
      </c>
      <c r="F14">
        <v>120.1</v>
      </c>
      <c r="G14">
        <v>124.8</v>
      </c>
      <c r="H14">
        <v>4.8220000000000001</v>
      </c>
    </row>
    <row r="15" spans="1:8" x14ac:dyDescent="0.3">
      <c r="A15">
        <v>20</v>
      </c>
      <c r="B15">
        <v>40</v>
      </c>
      <c r="C15">
        <v>672.16499999999996</v>
      </c>
      <c r="D15">
        <v>4.79</v>
      </c>
      <c r="E15">
        <v>4.7</v>
      </c>
      <c r="F15">
        <v>125.9</v>
      </c>
      <c r="G15">
        <v>130.6</v>
      </c>
      <c r="H15">
        <v>4.7080000000000002</v>
      </c>
    </row>
    <row r="16" spans="1:8" x14ac:dyDescent="0.3">
      <c r="A16">
        <v>20</v>
      </c>
      <c r="B16">
        <v>50</v>
      </c>
      <c r="C16">
        <v>674.13</v>
      </c>
      <c r="D16">
        <v>5.28</v>
      </c>
      <c r="E16">
        <v>4.7</v>
      </c>
      <c r="F16">
        <v>131.6</v>
      </c>
      <c r="G16">
        <v>136.30000000000001</v>
      </c>
      <c r="H16">
        <v>4.6340000000000003</v>
      </c>
    </row>
    <row r="17" spans="1:8" x14ac:dyDescent="0.3">
      <c r="A17">
        <v>20</v>
      </c>
      <c r="B17">
        <v>60</v>
      </c>
      <c r="C17">
        <v>663.98</v>
      </c>
      <c r="D17">
        <v>5.03</v>
      </c>
      <c r="E17">
        <v>4.5999999999999996</v>
      </c>
      <c r="F17">
        <v>137.30000000000001</v>
      </c>
      <c r="G17">
        <v>141.9</v>
      </c>
      <c r="H17">
        <v>4.5960000000000001</v>
      </c>
    </row>
    <row r="18" spans="1:8" x14ac:dyDescent="0.3">
      <c r="A18">
        <v>20</v>
      </c>
      <c r="B18">
        <v>70</v>
      </c>
      <c r="C18">
        <v>664.66</v>
      </c>
      <c r="D18">
        <v>5.23</v>
      </c>
      <c r="E18">
        <v>4.5999999999999996</v>
      </c>
      <c r="F18">
        <v>142.9</v>
      </c>
      <c r="G18">
        <v>147.5</v>
      </c>
      <c r="H18">
        <v>4.5620000000000003</v>
      </c>
    </row>
    <row r="19" spans="1:8" x14ac:dyDescent="0.3">
      <c r="A19">
        <v>20</v>
      </c>
      <c r="B19">
        <v>80</v>
      </c>
      <c r="C19">
        <v>654.125</v>
      </c>
      <c r="D19">
        <v>4.3099999999999996</v>
      </c>
      <c r="E19">
        <v>4.5</v>
      </c>
      <c r="F19">
        <v>148.5</v>
      </c>
      <c r="G19">
        <v>153</v>
      </c>
      <c r="H19">
        <v>4.54</v>
      </c>
    </row>
    <row r="20" spans="1:8" x14ac:dyDescent="0.3">
      <c r="A20">
        <v>20</v>
      </c>
      <c r="B20">
        <v>90</v>
      </c>
      <c r="C20">
        <v>656.82</v>
      </c>
      <c r="D20">
        <v>4.7850000000000001</v>
      </c>
      <c r="E20">
        <v>4.5</v>
      </c>
      <c r="F20">
        <v>154</v>
      </c>
      <c r="G20">
        <v>158.5</v>
      </c>
      <c r="H20">
        <v>4.53</v>
      </c>
    </row>
    <row r="21" spans="1:8" x14ac:dyDescent="0.3">
      <c r="A21">
        <v>20</v>
      </c>
      <c r="B21">
        <v>100</v>
      </c>
      <c r="C21">
        <v>665.88</v>
      </c>
      <c r="D21">
        <v>5.23</v>
      </c>
      <c r="E21">
        <v>4.5999999999999996</v>
      </c>
      <c r="F21">
        <v>159.5</v>
      </c>
      <c r="G21">
        <v>164.1</v>
      </c>
      <c r="H21">
        <v>4.5179999999999998</v>
      </c>
    </row>
    <row r="22" spans="1:8" x14ac:dyDescent="0.3">
      <c r="A22">
        <v>30</v>
      </c>
      <c r="B22">
        <v>10</v>
      </c>
      <c r="C22">
        <v>647.43499999999995</v>
      </c>
      <c r="D22">
        <v>4.63</v>
      </c>
      <c r="E22">
        <v>4.3</v>
      </c>
      <c r="F22">
        <v>165.2</v>
      </c>
      <c r="G22">
        <v>169.5</v>
      </c>
      <c r="H22">
        <v>4.6479999999999997</v>
      </c>
    </row>
    <row r="23" spans="1:8" x14ac:dyDescent="0.3">
      <c r="A23">
        <v>30</v>
      </c>
      <c r="B23">
        <v>20</v>
      </c>
      <c r="C23">
        <v>585.1</v>
      </c>
      <c r="D23">
        <v>5.09</v>
      </c>
      <c r="E23">
        <v>3.6</v>
      </c>
      <c r="F23">
        <v>170.8</v>
      </c>
      <c r="G23">
        <v>174.4</v>
      </c>
      <c r="H23">
        <v>3.7850000000000001</v>
      </c>
    </row>
    <row r="24" spans="1:8" x14ac:dyDescent="0.3">
      <c r="A24">
        <v>30</v>
      </c>
      <c r="B24">
        <v>30</v>
      </c>
      <c r="C24">
        <v>558.73500000000001</v>
      </c>
      <c r="D24">
        <v>5.4249999999999998</v>
      </c>
      <c r="E24">
        <v>3.4</v>
      </c>
      <c r="F24">
        <v>175.6</v>
      </c>
      <c r="G24">
        <v>179</v>
      </c>
      <c r="H24">
        <v>3.4969999999999999</v>
      </c>
    </row>
    <row r="25" spans="1:8" x14ac:dyDescent="0.3">
      <c r="A25">
        <v>30</v>
      </c>
      <c r="B25">
        <v>40</v>
      </c>
      <c r="C25">
        <v>550.54</v>
      </c>
      <c r="D25">
        <v>5.0250000000000004</v>
      </c>
      <c r="E25">
        <v>3.3</v>
      </c>
      <c r="F25">
        <v>180.1</v>
      </c>
      <c r="G25">
        <v>183.4</v>
      </c>
      <c r="H25">
        <v>3.3559999999999999</v>
      </c>
    </row>
    <row r="26" spans="1:8" x14ac:dyDescent="0.3">
      <c r="A26">
        <v>30</v>
      </c>
      <c r="B26">
        <v>50</v>
      </c>
      <c r="C26">
        <v>536.25</v>
      </c>
      <c r="D26">
        <v>5.4349999999999996</v>
      </c>
      <c r="E26">
        <v>3.2</v>
      </c>
      <c r="F26">
        <v>184.4</v>
      </c>
      <c r="G26">
        <v>187.6</v>
      </c>
      <c r="H26">
        <v>3.2730000000000001</v>
      </c>
    </row>
    <row r="27" spans="1:8" x14ac:dyDescent="0.3">
      <c r="A27">
        <v>30</v>
      </c>
      <c r="B27">
        <v>60</v>
      </c>
      <c r="C27">
        <v>552.26</v>
      </c>
      <c r="D27">
        <v>5.34</v>
      </c>
      <c r="E27">
        <v>3.2</v>
      </c>
      <c r="F27">
        <v>188.7</v>
      </c>
      <c r="G27">
        <v>191.9</v>
      </c>
      <c r="H27">
        <v>3.2210000000000001</v>
      </c>
    </row>
    <row r="28" spans="1:8" x14ac:dyDescent="0.3">
      <c r="A28">
        <v>30</v>
      </c>
      <c r="B28">
        <v>70</v>
      </c>
      <c r="C28">
        <v>528.30999999999995</v>
      </c>
      <c r="D28">
        <v>4.6150000000000002</v>
      </c>
      <c r="E28">
        <v>3.1</v>
      </c>
      <c r="F28">
        <v>193</v>
      </c>
      <c r="G28">
        <v>196.1</v>
      </c>
      <c r="H28">
        <v>3.1859999999999999</v>
      </c>
    </row>
    <row r="29" spans="1:8" x14ac:dyDescent="0.3">
      <c r="A29">
        <v>30</v>
      </c>
      <c r="B29">
        <v>80</v>
      </c>
      <c r="C29">
        <v>554.40499999999997</v>
      </c>
      <c r="D29">
        <v>5.0650000000000004</v>
      </c>
      <c r="E29">
        <v>3.2</v>
      </c>
      <c r="F29">
        <v>197.1</v>
      </c>
      <c r="G29">
        <v>200.3</v>
      </c>
      <c r="H29">
        <v>3.161</v>
      </c>
    </row>
    <row r="30" spans="1:8" x14ac:dyDescent="0.3">
      <c r="A30">
        <v>30</v>
      </c>
      <c r="B30">
        <v>90</v>
      </c>
      <c r="C30">
        <v>526.91</v>
      </c>
      <c r="D30">
        <v>4.0049999999999999</v>
      </c>
      <c r="E30">
        <v>3.1</v>
      </c>
      <c r="F30">
        <v>201.3</v>
      </c>
      <c r="G30">
        <v>204.4</v>
      </c>
      <c r="H30">
        <v>3.1419999999999999</v>
      </c>
    </row>
    <row r="31" spans="1:8" x14ac:dyDescent="0.3">
      <c r="A31">
        <v>30</v>
      </c>
      <c r="B31">
        <v>100</v>
      </c>
      <c r="C31">
        <v>553.125</v>
      </c>
      <c r="D31">
        <v>5.6050000000000004</v>
      </c>
      <c r="E31">
        <v>3.2</v>
      </c>
      <c r="F31">
        <v>205.4</v>
      </c>
      <c r="G31">
        <v>208.6</v>
      </c>
      <c r="H31">
        <v>3.13</v>
      </c>
    </row>
    <row r="32" spans="1:8" x14ac:dyDescent="0.3">
      <c r="A32">
        <v>40</v>
      </c>
      <c r="B32">
        <v>10</v>
      </c>
      <c r="C32">
        <v>612.58500000000004</v>
      </c>
      <c r="D32">
        <v>4.8849999999999998</v>
      </c>
      <c r="E32">
        <v>3.9</v>
      </c>
      <c r="F32">
        <v>209.7</v>
      </c>
      <c r="G32">
        <v>213.6</v>
      </c>
      <c r="H32">
        <v>4.2050000000000001</v>
      </c>
    </row>
    <row r="33" spans="1:8" x14ac:dyDescent="0.3">
      <c r="A33">
        <v>40</v>
      </c>
      <c r="B33">
        <v>20</v>
      </c>
      <c r="C33">
        <v>537.35</v>
      </c>
      <c r="D33">
        <v>4.7050000000000001</v>
      </c>
      <c r="E33">
        <v>3</v>
      </c>
      <c r="F33">
        <v>214.9</v>
      </c>
      <c r="G33">
        <v>217.9</v>
      </c>
      <c r="H33">
        <v>3.2090000000000001</v>
      </c>
    </row>
    <row r="34" spans="1:8" x14ac:dyDescent="0.3">
      <c r="A34">
        <v>40</v>
      </c>
      <c r="B34">
        <v>30</v>
      </c>
      <c r="C34">
        <v>518.12</v>
      </c>
      <c r="D34">
        <v>4.95</v>
      </c>
      <c r="E34">
        <v>2.8</v>
      </c>
      <c r="F34">
        <v>219</v>
      </c>
      <c r="G34">
        <v>221.8</v>
      </c>
      <c r="H34">
        <v>2.8740000000000001</v>
      </c>
    </row>
    <row r="35" spans="1:8" x14ac:dyDescent="0.3">
      <c r="A35">
        <v>40</v>
      </c>
      <c r="B35">
        <v>40</v>
      </c>
      <c r="C35">
        <v>515.81500000000005</v>
      </c>
      <c r="D35">
        <v>4.9349999999999996</v>
      </c>
      <c r="E35">
        <v>2.7</v>
      </c>
      <c r="F35">
        <v>222.9</v>
      </c>
      <c r="G35">
        <v>225.6</v>
      </c>
      <c r="H35">
        <v>2.71</v>
      </c>
    </row>
    <row r="36" spans="1:8" x14ac:dyDescent="0.3">
      <c r="A36">
        <v>40</v>
      </c>
      <c r="B36">
        <v>50</v>
      </c>
      <c r="C36">
        <v>492.55500000000001</v>
      </c>
      <c r="D36">
        <v>5.085</v>
      </c>
      <c r="E36">
        <v>2.6</v>
      </c>
      <c r="F36">
        <v>226.6</v>
      </c>
      <c r="G36">
        <v>229.2</v>
      </c>
      <c r="H36">
        <v>2.6120000000000001</v>
      </c>
    </row>
    <row r="37" spans="1:8" x14ac:dyDescent="0.3">
      <c r="A37">
        <v>40</v>
      </c>
      <c r="B37">
        <v>60</v>
      </c>
      <c r="C37">
        <v>482.685</v>
      </c>
      <c r="D37">
        <v>4.9050000000000002</v>
      </c>
      <c r="E37">
        <v>2.5</v>
      </c>
      <c r="F37">
        <v>230.2</v>
      </c>
      <c r="G37">
        <v>232.7</v>
      </c>
      <c r="H37">
        <v>2.5499999999999998</v>
      </c>
    </row>
    <row r="38" spans="1:8" x14ac:dyDescent="0.3">
      <c r="A38">
        <v>40</v>
      </c>
      <c r="B38">
        <v>70</v>
      </c>
      <c r="C38">
        <v>482.65499999999997</v>
      </c>
      <c r="D38">
        <v>5.0750000000000002</v>
      </c>
      <c r="E38">
        <v>2.4</v>
      </c>
      <c r="F38">
        <v>233.8</v>
      </c>
      <c r="G38">
        <v>236.2</v>
      </c>
      <c r="H38">
        <v>2.5089999999999999</v>
      </c>
    </row>
    <row r="39" spans="1:8" x14ac:dyDescent="0.3">
      <c r="A39">
        <v>40</v>
      </c>
      <c r="B39">
        <v>80</v>
      </c>
      <c r="C39">
        <v>508.71</v>
      </c>
      <c r="D39">
        <v>4.8</v>
      </c>
      <c r="E39">
        <v>2.5</v>
      </c>
      <c r="F39">
        <v>237.3</v>
      </c>
      <c r="G39">
        <v>239.8</v>
      </c>
      <c r="H39">
        <v>2.484</v>
      </c>
    </row>
    <row r="40" spans="1:8" x14ac:dyDescent="0.3">
      <c r="A40">
        <v>40</v>
      </c>
      <c r="B40">
        <v>90</v>
      </c>
      <c r="C40">
        <v>482.36</v>
      </c>
      <c r="D40">
        <v>4.66</v>
      </c>
      <c r="E40">
        <v>2.5</v>
      </c>
      <c r="F40">
        <v>240.8</v>
      </c>
      <c r="G40">
        <v>243.3</v>
      </c>
      <c r="H40">
        <v>2.4649999999999999</v>
      </c>
    </row>
    <row r="41" spans="1:8" x14ac:dyDescent="0.3">
      <c r="A41">
        <v>40</v>
      </c>
      <c r="B41">
        <v>100</v>
      </c>
      <c r="C41">
        <v>476.22500000000002</v>
      </c>
      <c r="D41">
        <v>5.7949999999999999</v>
      </c>
      <c r="E41">
        <v>2.4</v>
      </c>
      <c r="F41">
        <v>244.3</v>
      </c>
      <c r="G41">
        <v>246.7</v>
      </c>
      <c r="H41">
        <v>2.4449999999999998</v>
      </c>
    </row>
    <row r="42" spans="1:8" x14ac:dyDescent="0.3">
      <c r="A42">
        <v>50</v>
      </c>
      <c r="B42">
        <v>10</v>
      </c>
      <c r="C42">
        <v>591.15499999999997</v>
      </c>
      <c r="D42">
        <v>4.7149999999999999</v>
      </c>
      <c r="E42">
        <v>3.7</v>
      </c>
      <c r="F42">
        <v>247.9</v>
      </c>
      <c r="G42">
        <v>251.6</v>
      </c>
      <c r="H42">
        <v>3.9769999999999999</v>
      </c>
    </row>
    <row r="43" spans="1:8" x14ac:dyDescent="0.3">
      <c r="A43">
        <v>50</v>
      </c>
      <c r="B43">
        <v>20</v>
      </c>
      <c r="C43">
        <v>519.57000000000005</v>
      </c>
      <c r="D43">
        <v>5.45</v>
      </c>
      <c r="E43">
        <v>2.8</v>
      </c>
      <c r="F43">
        <v>252.8</v>
      </c>
      <c r="G43">
        <v>255.6</v>
      </c>
      <c r="H43">
        <v>2.9</v>
      </c>
    </row>
    <row r="44" spans="1:8" x14ac:dyDescent="0.3">
      <c r="A44">
        <v>50</v>
      </c>
      <c r="B44">
        <v>30</v>
      </c>
      <c r="C44">
        <v>498.27499999999998</v>
      </c>
      <c r="D44">
        <v>5.15</v>
      </c>
      <c r="E44">
        <v>2.4</v>
      </c>
      <c r="F44">
        <v>256.7</v>
      </c>
      <c r="G44">
        <v>259.10000000000002</v>
      </c>
      <c r="H44">
        <v>2.5259999999999998</v>
      </c>
    </row>
    <row r="45" spans="1:8" x14ac:dyDescent="0.3">
      <c r="A45">
        <v>50</v>
      </c>
      <c r="B45">
        <v>40</v>
      </c>
      <c r="C45">
        <v>493.32499999999999</v>
      </c>
      <c r="D45">
        <v>5.17</v>
      </c>
      <c r="E45">
        <v>2.2999999999999998</v>
      </c>
      <c r="F45">
        <v>260.2</v>
      </c>
      <c r="G45">
        <v>262.5</v>
      </c>
      <c r="H45">
        <v>2.34</v>
      </c>
    </row>
    <row r="46" spans="1:8" x14ac:dyDescent="0.3">
      <c r="A46">
        <v>50</v>
      </c>
      <c r="B46">
        <v>50</v>
      </c>
      <c r="C46">
        <v>489.61500000000001</v>
      </c>
      <c r="D46">
        <v>4.91</v>
      </c>
      <c r="E46">
        <v>2.2000000000000002</v>
      </c>
      <c r="F46">
        <v>263.60000000000002</v>
      </c>
      <c r="G46">
        <v>265.8</v>
      </c>
      <c r="H46">
        <v>2.2309999999999999</v>
      </c>
    </row>
    <row r="47" spans="1:8" x14ac:dyDescent="0.3">
      <c r="A47">
        <v>50</v>
      </c>
      <c r="B47">
        <v>60</v>
      </c>
      <c r="C47">
        <v>481.62</v>
      </c>
      <c r="D47">
        <v>5.61</v>
      </c>
      <c r="E47">
        <v>2.1</v>
      </c>
      <c r="F47">
        <v>266.8</v>
      </c>
      <c r="G47">
        <v>268.89999999999998</v>
      </c>
      <c r="H47">
        <v>2.165</v>
      </c>
    </row>
    <row r="48" spans="1:8" x14ac:dyDescent="0.3">
      <c r="A48">
        <v>50</v>
      </c>
      <c r="B48">
        <v>70</v>
      </c>
      <c r="C48">
        <v>473.29</v>
      </c>
      <c r="D48">
        <v>5.3049999999999997</v>
      </c>
      <c r="E48">
        <v>2</v>
      </c>
      <c r="F48">
        <v>270</v>
      </c>
      <c r="G48">
        <v>272</v>
      </c>
      <c r="H48">
        <v>2.117</v>
      </c>
    </row>
    <row r="49" spans="1:8" x14ac:dyDescent="0.3">
      <c r="A49">
        <v>50</v>
      </c>
      <c r="B49">
        <v>80</v>
      </c>
      <c r="C49">
        <v>473.89</v>
      </c>
      <c r="D49">
        <v>4.5</v>
      </c>
      <c r="E49">
        <v>2</v>
      </c>
      <c r="F49">
        <v>273.10000000000002</v>
      </c>
      <c r="G49">
        <v>275.10000000000002</v>
      </c>
      <c r="H49">
        <v>2.09</v>
      </c>
    </row>
    <row r="50" spans="1:8" x14ac:dyDescent="0.3">
      <c r="A50">
        <v>50</v>
      </c>
      <c r="B50">
        <v>90</v>
      </c>
      <c r="C50">
        <v>484.67</v>
      </c>
      <c r="D50">
        <v>5.0449999999999999</v>
      </c>
      <c r="E50">
        <v>2.1</v>
      </c>
      <c r="F50">
        <v>276.10000000000002</v>
      </c>
      <c r="G50">
        <v>278.2</v>
      </c>
      <c r="H50">
        <v>2.0619999999999998</v>
      </c>
    </row>
    <row r="51" spans="1:8" x14ac:dyDescent="0.3">
      <c r="A51">
        <v>50</v>
      </c>
      <c r="B51">
        <v>100</v>
      </c>
      <c r="C51">
        <v>487.23500000000001</v>
      </c>
      <c r="D51">
        <v>5.4649999999999999</v>
      </c>
      <c r="E51">
        <v>2.1</v>
      </c>
      <c r="F51">
        <v>279.2</v>
      </c>
      <c r="G51">
        <v>281.3</v>
      </c>
      <c r="H51">
        <v>2.0430000000000001</v>
      </c>
    </row>
    <row r="52" spans="1:8" x14ac:dyDescent="0.3">
      <c r="A52">
        <v>60</v>
      </c>
      <c r="B52">
        <v>10</v>
      </c>
      <c r="C52">
        <v>603.4</v>
      </c>
      <c r="D52">
        <v>4.8150000000000004</v>
      </c>
      <c r="E52">
        <v>3.7</v>
      </c>
      <c r="F52">
        <v>282.39999999999998</v>
      </c>
      <c r="G52">
        <v>286.10000000000002</v>
      </c>
      <c r="H52">
        <v>3.8010000000000002</v>
      </c>
    </row>
    <row r="53" spans="1:8" x14ac:dyDescent="0.3">
      <c r="A53">
        <v>60</v>
      </c>
      <c r="B53">
        <v>20</v>
      </c>
      <c r="C53">
        <v>517.48</v>
      </c>
      <c r="D53">
        <v>4.2699999999999996</v>
      </c>
      <c r="E53">
        <v>2.5</v>
      </c>
      <c r="F53">
        <v>287.2</v>
      </c>
      <c r="G53">
        <v>289.7</v>
      </c>
      <c r="H53">
        <v>2.718</v>
      </c>
    </row>
    <row r="54" spans="1:8" x14ac:dyDescent="0.3">
      <c r="A54">
        <v>60</v>
      </c>
      <c r="B54">
        <v>30</v>
      </c>
      <c r="C54">
        <v>506.15</v>
      </c>
      <c r="D54">
        <v>5.4349999999999996</v>
      </c>
      <c r="E54">
        <v>2.2999999999999998</v>
      </c>
      <c r="F54">
        <v>290.8</v>
      </c>
      <c r="G54">
        <v>293.10000000000002</v>
      </c>
      <c r="H54">
        <v>2.31</v>
      </c>
    </row>
    <row r="55" spans="1:8" x14ac:dyDescent="0.3">
      <c r="A55">
        <v>60</v>
      </c>
      <c r="B55">
        <v>40</v>
      </c>
      <c r="C55">
        <v>483.46499999999997</v>
      </c>
      <c r="D55">
        <v>4.8</v>
      </c>
      <c r="E55">
        <v>2</v>
      </c>
      <c r="F55">
        <v>294.2</v>
      </c>
      <c r="G55">
        <v>296.2</v>
      </c>
      <c r="H55">
        <v>2.105</v>
      </c>
    </row>
    <row r="56" spans="1:8" x14ac:dyDescent="0.3">
      <c r="A56">
        <v>60</v>
      </c>
      <c r="B56">
        <v>50</v>
      </c>
      <c r="C56">
        <v>460.55500000000001</v>
      </c>
      <c r="D56">
        <v>5.0949999999999998</v>
      </c>
      <c r="E56">
        <v>2</v>
      </c>
      <c r="F56">
        <v>297.3</v>
      </c>
      <c r="G56">
        <v>299.3</v>
      </c>
      <c r="H56">
        <v>1.9870000000000001</v>
      </c>
    </row>
    <row r="57" spans="1:8" x14ac:dyDescent="0.3">
      <c r="A57">
        <v>60</v>
      </c>
      <c r="B57">
        <v>60</v>
      </c>
      <c r="C57">
        <v>470.78</v>
      </c>
      <c r="D57">
        <v>5.23</v>
      </c>
      <c r="E57">
        <v>1.8</v>
      </c>
      <c r="F57">
        <v>300.3</v>
      </c>
      <c r="G57">
        <v>302.10000000000002</v>
      </c>
      <c r="H57">
        <v>1.915</v>
      </c>
    </row>
    <row r="58" spans="1:8" x14ac:dyDescent="0.3">
      <c r="A58">
        <v>60</v>
      </c>
      <c r="B58">
        <v>70</v>
      </c>
      <c r="C58">
        <v>473.35500000000002</v>
      </c>
      <c r="D58">
        <v>4.7300000000000004</v>
      </c>
      <c r="E58">
        <v>1.8</v>
      </c>
      <c r="F58">
        <v>303.2</v>
      </c>
      <c r="G58">
        <v>305</v>
      </c>
      <c r="H58">
        <v>1.865</v>
      </c>
    </row>
    <row r="59" spans="1:8" x14ac:dyDescent="0.3">
      <c r="A59">
        <v>60</v>
      </c>
      <c r="B59">
        <v>80</v>
      </c>
      <c r="C59">
        <v>457.1</v>
      </c>
      <c r="D59">
        <v>5.61</v>
      </c>
      <c r="E59">
        <v>1.8</v>
      </c>
      <c r="F59">
        <v>306</v>
      </c>
      <c r="G59">
        <v>307.8</v>
      </c>
      <c r="H59">
        <v>1.829</v>
      </c>
    </row>
    <row r="60" spans="1:8" x14ac:dyDescent="0.3">
      <c r="A60">
        <v>60</v>
      </c>
      <c r="B60">
        <v>90</v>
      </c>
      <c r="C60">
        <v>438.91500000000002</v>
      </c>
      <c r="D60">
        <v>6</v>
      </c>
      <c r="E60">
        <v>1.7</v>
      </c>
      <c r="F60">
        <v>308.89999999999998</v>
      </c>
      <c r="G60">
        <v>310.60000000000002</v>
      </c>
      <c r="H60">
        <v>1.8029999999999999</v>
      </c>
    </row>
    <row r="61" spans="1:8" x14ac:dyDescent="0.3">
      <c r="A61">
        <v>60</v>
      </c>
      <c r="B61">
        <v>100</v>
      </c>
      <c r="C61">
        <v>436.64499999999998</v>
      </c>
      <c r="D61">
        <v>7.92</v>
      </c>
      <c r="E61">
        <v>1.7</v>
      </c>
      <c r="F61">
        <v>311.7</v>
      </c>
      <c r="G61">
        <v>313.39999999999998</v>
      </c>
      <c r="H61">
        <v>1.7829999999999999</v>
      </c>
    </row>
    <row r="62" spans="1:8" x14ac:dyDescent="0.3">
      <c r="A62">
        <v>70</v>
      </c>
      <c r="B62">
        <v>10</v>
      </c>
      <c r="C62">
        <v>565.99</v>
      </c>
      <c r="D62">
        <v>4.54</v>
      </c>
      <c r="E62">
        <v>3.4</v>
      </c>
      <c r="F62">
        <v>314.7</v>
      </c>
      <c r="G62">
        <v>318.10000000000002</v>
      </c>
      <c r="H62">
        <v>3.661</v>
      </c>
    </row>
    <row r="63" spans="1:8" x14ac:dyDescent="0.3">
      <c r="A63">
        <v>70</v>
      </c>
      <c r="B63">
        <v>20</v>
      </c>
      <c r="C63">
        <v>509.98500000000001</v>
      </c>
      <c r="D63">
        <v>4.8949999999999996</v>
      </c>
      <c r="E63">
        <v>2.5</v>
      </c>
      <c r="F63">
        <v>319.2</v>
      </c>
      <c r="G63">
        <v>321.7</v>
      </c>
      <c r="H63">
        <v>2.6120000000000001</v>
      </c>
    </row>
    <row r="64" spans="1:8" x14ac:dyDescent="0.3">
      <c r="A64">
        <v>70</v>
      </c>
      <c r="B64">
        <v>30</v>
      </c>
      <c r="C64">
        <v>484.29</v>
      </c>
      <c r="D64">
        <v>5.585</v>
      </c>
      <c r="E64">
        <v>2.1</v>
      </c>
      <c r="F64">
        <v>322.8</v>
      </c>
      <c r="G64">
        <v>324.89999999999998</v>
      </c>
      <c r="H64">
        <v>2.17</v>
      </c>
    </row>
    <row r="65" spans="1:8" x14ac:dyDescent="0.3">
      <c r="A65">
        <v>70</v>
      </c>
      <c r="B65">
        <v>40</v>
      </c>
      <c r="C65">
        <v>466.07</v>
      </c>
      <c r="D65">
        <v>5.3449999999999998</v>
      </c>
      <c r="E65">
        <v>1.9</v>
      </c>
      <c r="F65">
        <v>326</v>
      </c>
      <c r="G65">
        <v>327.9</v>
      </c>
      <c r="H65">
        <v>1.9490000000000001</v>
      </c>
    </row>
    <row r="66" spans="1:8" x14ac:dyDescent="0.3">
      <c r="A66">
        <v>70</v>
      </c>
      <c r="B66">
        <v>50</v>
      </c>
      <c r="C66">
        <v>413.99</v>
      </c>
      <c r="D66">
        <v>5.0999999999999996</v>
      </c>
      <c r="E66">
        <v>1.7</v>
      </c>
      <c r="F66">
        <v>329</v>
      </c>
      <c r="G66">
        <v>330.7</v>
      </c>
      <c r="H66">
        <v>1.825</v>
      </c>
    </row>
    <row r="67" spans="1:8" x14ac:dyDescent="0.3">
      <c r="A67">
        <v>70</v>
      </c>
      <c r="B67">
        <v>60</v>
      </c>
      <c r="C67">
        <v>396.315</v>
      </c>
      <c r="D67">
        <v>5.5650000000000004</v>
      </c>
      <c r="E67">
        <v>1.6</v>
      </c>
      <c r="F67">
        <v>331.8</v>
      </c>
      <c r="G67">
        <v>333.4</v>
      </c>
      <c r="H67">
        <v>1.7450000000000001</v>
      </c>
    </row>
    <row r="68" spans="1:8" x14ac:dyDescent="0.3">
      <c r="A68">
        <v>70</v>
      </c>
      <c r="B68">
        <v>70</v>
      </c>
      <c r="C68">
        <v>432.90499999999997</v>
      </c>
      <c r="D68">
        <v>5.165</v>
      </c>
      <c r="E68">
        <v>1.6</v>
      </c>
      <c r="F68">
        <v>334.5</v>
      </c>
      <c r="G68">
        <v>336.1</v>
      </c>
      <c r="H68">
        <v>1.694</v>
      </c>
    </row>
    <row r="69" spans="1:8" x14ac:dyDescent="0.3">
      <c r="A69">
        <v>70</v>
      </c>
      <c r="B69">
        <v>80</v>
      </c>
      <c r="C69">
        <v>465.47</v>
      </c>
      <c r="D69">
        <v>5.46</v>
      </c>
      <c r="E69">
        <v>1.6</v>
      </c>
      <c r="F69">
        <v>337.2</v>
      </c>
      <c r="G69">
        <v>338.8</v>
      </c>
      <c r="H69">
        <v>1.651</v>
      </c>
    </row>
    <row r="70" spans="1:8" x14ac:dyDescent="0.3">
      <c r="A70">
        <v>70</v>
      </c>
      <c r="B70">
        <v>90</v>
      </c>
      <c r="C70">
        <v>404.86</v>
      </c>
      <c r="D70">
        <v>6.8150000000000004</v>
      </c>
      <c r="E70">
        <v>1.5</v>
      </c>
      <c r="F70">
        <v>339.9</v>
      </c>
      <c r="G70">
        <v>341.4</v>
      </c>
      <c r="H70">
        <v>1.621</v>
      </c>
    </row>
    <row r="71" spans="1:8" x14ac:dyDescent="0.3">
      <c r="A71">
        <v>70</v>
      </c>
      <c r="B71">
        <v>100</v>
      </c>
      <c r="C71">
        <v>457.36500000000001</v>
      </c>
      <c r="D71">
        <v>6.2750000000000004</v>
      </c>
      <c r="E71">
        <v>1.6</v>
      </c>
      <c r="F71">
        <v>342.5</v>
      </c>
      <c r="G71">
        <v>344.1</v>
      </c>
      <c r="H71">
        <v>1.6020000000000001</v>
      </c>
    </row>
    <row r="72" spans="1:8" x14ac:dyDescent="0.3">
      <c r="A72">
        <v>80</v>
      </c>
      <c r="B72">
        <v>10</v>
      </c>
      <c r="C72">
        <v>546.08000000000004</v>
      </c>
      <c r="D72">
        <v>5.13</v>
      </c>
      <c r="E72">
        <v>3.3</v>
      </c>
      <c r="F72">
        <v>345.3</v>
      </c>
      <c r="G72">
        <v>348.6</v>
      </c>
      <c r="H72">
        <v>3.5409999999999999</v>
      </c>
    </row>
    <row r="73" spans="1:8" x14ac:dyDescent="0.3">
      <c r="A73">
        <v>80</v>
      </c>
      <c r="B73">
        <v>20</v>
      </c>
      <c r="C73">
        <v>495.815</v>
      </c>
      <c r="D73">
        <v>5.1950000000000003</v>
      </c>
      <c r="E73">
        <v>2.4</v>
      </c>
      <c r="F73">
        <v>349.8</v>
      </c>
      <c r="G73">
        <v>352.2</v>
      </c>
      <c r="H73">
        <v>2.5259999999999998</v>
      </c>
    </row>
    <row r="74" spans="1:8" x14ac:dyDescent="0.3">
      <c r="A74">
        <v>80</v>
      </c>
      <c r="B74">
        <v>30</v>
      </c>
      <c r="C74">
        <v>465.90499999999997</v>
      </c>
      <c r="D74">
        <v>5.39</v>
      </c>
      <c r="E74">
        <v>1.9</v>
      </c>
      <c r="F74">
        <v>353.3</v>
      </c>
      <c r="G74">
        <v>355.2</v>
      </c>
      <c r="H74">
        <v>2.077</v>
      </c>
    </row>
    <row r="75" spans="1:8" x14ac:dyDescent="0.3">
      <c r="A75">
        <v>80</v>
      </c>
      <c r="B75">
        <v>40</v>
      </c>
      <c r="C75">
        <v>449.56</v>
      </c>
      <c r="D75">
        <v>5.27</v>
      </c>
      <c r="E75">
        <v>1.8</v>
      </c>
      <c r="F75">
        <v>356.3</v>
      </c>
      <c r="G75">
        <v>358.1</v>
      </c>
      <c r="H75">
        <v>1.841</v>
      </c>
    </row>
    <row r="76" spans="1:8" x14ac:dyDescent="0.3">
      <c r="A76">
        <v>80</v>
      </c>
      <c r="B76">
        <v>50</v>
      </c>
      <c r="C76">
        <v>445.96</v>
      </c>
      <c r="D76">
        <v>5.44</v>
      </c>
      <c r="E76">
        <v>1.6</v>
      </c>
      <c r="F76">
        <v>359.2</v>
      </c>
      <c r="G76">
        <v>360.8</v>
      </c>
      <c r="H76">
        <v>1.71</v>
      </c>
    </row>
    <row r="77" spans="1:8" x14ac:dyDescent="0.3">
      <c r="A77">
        <v>80</v>
      </c>
      <c r="B77">
        <v>60</v>
      </c>
      <c r="C77">
        <v>445.53</v>
      </c>
      <c r="D77">
        <v>5.9249999999999998</v>
      </c>
      <c r="E77">
        <v>1.5</v>
      </c>
      <c r="F77">
        <v>361.9</v>
      </c>
      <c r="G77">
        <v>363.4</v>
      </c>
      <c r="H77">
        <v>1.6240000000000001</v>
      </c>
    </row>
    <row r="78" spans="1:8" x14ac:dyDescent="0.3">
      <c r="A78">
        <v>80</v>
      </c>
      <c r="B78">
        <v>70</v>
      </c>
      <c r="C78">
        <v>416.26</v>
      </c>
      <c r="D78">
        <v>5.5250000000000004</v>
      </c>
      <c r="E78">
        <v>1.5</v>
      </c>
      <c r="F78">
        <v>364.5</v>
      </c>
      <c r="G78">
        <v>366</v>
      </c>
      <c r="H78">
        <v>1.5649999999999999</v>
      </c>
    </row>
    <row r="79" spans="1:8" x14ac:dyDescent="0.3">
      <c r="A79">
        <v>80</v>
      </c>
      <c r="B79">
        <v>80</v>
      </c>
      <c r="C79">
        <v>433.685</v>
      </c>
      <c r="D79">
        <v>7.19</v>
      </c>
      <c r="E79">
        <v>1.4</v>
      </c>
      <c r="F79">
        <v>367.1</v>
      </c>
      <c r="G79">
        <v>368.5</v>
      </c>
      <c r="H79">
        <v>1.5229999999999999</v>
      </c>
    </row>
    <row r="80" spans="1:8" x14ac:dyDescent="0.3">
      <c r="A80">
        <v>80</v>
      </c>
      <c r="B80">
        <v>90</v>
      </c>
      <c r="C80">
        <v>454.745</v>
      </c>
      <c r="D80">
        <v>5.38</v>
      </c>
      <c r="E80">
        <v>1.5</v>
      </c>
      <c r="F80">
        <v>369.6</v>
      </c>
      <c r="G80">
        <v>371.1</v>
      </c>
      <c r="H80">
        <v>1.4970000000000001</v>
      </c>
    </row>
    <row r="81" spans="1:8" x14ac:dyDescent="0.3">
      <c r="A81">
        <v>80</v>
      </c>
      <c r="B81">
        <v>100</v>
      </c>
      <c r="C81">
        <v>418.63</v>
      </c>
      <c r="D81">
        <v>6.35</v>
      </c>
      <c r="E81">
        <v>1.5</v>
      </c>
      <c r="F81">
        <v>372.1</v>
      </c>
      <c r="G81">
        <v>373.6</v>
      </c>
      <c r="H81">
        <v>1.4670000000000001</v>
      </c>
    </row>
    <row r="82" spans="1:8" x14ac:dyDescent="0.3">
      <c r="A82">
        <v>90</v>
      </c>
      <c r="B82">
        <v>10</v>
      </c>
      <c r="C82">
        <v>545.72</v>
      </c>
      <c r="D82">
        <v>4.7350000000000003</v>
      </c>
      <c r="E82">
        <v>3.3</v>
      </c>
      <c r="F82">
        <v>374.7</v>
      </c>
      <c r="G82">
        <v>378</v>
      </c>
      <c r="H82">
        <v>3.4420000000000002</v>
      </c>
    </row>
    <row r="83" spans="1:8" x14ac:dyDescent="0.3">
      <c r="A83">
        <v>90</v>
      </c>
      <c r="B83">
        <v>20</v>
      </c>
      <c r="C83">
        <v>486.8</v>
      </c>
      <c r="D83">
        <v>4.8550000000000004</v>
      </c>
      <c r="E83">
        <v>2.4</v>
      </c>
      <c r="F83">
        <v>379.1</v>
      </c>
      <c r="G83">
        <v>381.5</v>
      </c>
      <c r="H83">
        <v>2.452</v>
      </c>
    </row>
    <row r="84" spans="1:8" x14ac:dyDescent="0.3">
      <c r="A84">
        <v>90</v>
      </c>
      <c r="B84">
        <v>30</v>
      </c>
      <c r="C84">
        <v>444.56</v>
      </c>
      <c r="D84">
        <v>5.42</v>
      </c>
      <c r="E84">
        <v>1.9</v>
      </c>
      <c r="F84">
        <v>382.6</v>
      </c>
      <c r="G84">
        <v>384.5</v>
      </c>
      <c r="H84">
        <v>2.0129999999999999</v>
      </c>
    </row>
    <row r="85" spans="1:8" x14ac:dyDescent="0.3">
      <c r="A85">
        <v>90</v>
      </c>
      <c r="B85">
        <v>40</v>
      </c>
      <c r="C85">
        <v>424.85</v>
      </c>
      <c r="D85">
        <v>5.31</v>
      </c>
      <c r="E85">
        <v>1.6</v>
      </c>
      <c r="F85">
        <v>385.6</v>
      </c>
      <c r="G85">
        <v>387.2</v>
      </c>
      <c r="H85">
        <v>1.7649999999999999</v>
      </c>
    </row>
    <row r="86" spans="1:8" x14ac:dyDescent="0.3">
      <c r="A86">
        <v>90</v>
      </c>
      <c r="B86">
        <v>50</v>
      </c>
      <c r="C86">
        <v>441.21499999999997</v>
      </c>
      <c r="D86">
        <v>5.22</v>
      </c>
      <c r="E86">
        <v>1.6</v>
      </c>
      <c r="F86">
        <v>388.3</v>
      </c>
      <c r="G86">
        <v>389.9</v>
      </c>
      <c r="H86">
        <v>1.629</v>
      </c>
    </row>
    <row r="87" spans="1:8" x14ac:dyDescent="0.3">
      <c r="A87">
        <v>90</v>
      </c>
      <c r="B87">
        <v>60</v>
      </c>
      <c r="C87">
        <v>425.01</v>
      </c>
      <c r="D87">
        <v>6.4950000000000001</v>
      </c>
      <c r="E87">
        <v>1.3</v>
      </c>
      <c r="F87">
        <v>391</v>
      </c>
      <c r="G87">
        <v>392.3</v>
      </c>
      <c r="H87">
        <v>1.5289999999999999</v>
      </c>
    </row>
    <row r="88" spans="1:8" x14ac:dyDescent="0.3">
      <c r="A88">
        <v>90</v>
      </c>
      <c r="B88">
        <v>70</v>
      </c>
      <c r="C88">
        <v>425.86</v>
      </c>
      <c r="D88">
        <v>8.4499999999999993</v>
      </c>
      <c r="E88">
        <v>1.3</v>
      </c>
      <c r="F88">
        <v>393.5</v>
      </c>
      <c r="G88">
        <v>394.8</v>
      </c>
      <c r="H88">
        <v>1.4690000000000001</v>
      </c>
    </row>
    <row r="89" spans="1:8" x14ac:dyDescent="0.3">
      <c r="A89">
        <v>90</v>
      </c>
      <c r="B89">
        <v>80</v>
      </c>
      <c r="C89">
        <v>419.07499999999999</v>
      </c>
      <c r="D89">
        <v>7.1</v>
      </c>
      <c r="E89">
        <v>1.3</v>
      </c>
      <c r="F89">
        <v>396</v>
      </c>
      <c r="G89">
        <v>397.3</v>
      </c>
      <c r="H89">
        <v>1.4279999999999999</v>
      </c>
    </row>
    <row r="90" spans="1:8" x14ac:dyDescent="0.3">
      <c r="A90">
        <v>90</v>
      </c>
      <c r="B90">
        <v>90</v>
      </c>
      <c r="C90">
        <v>418.315</v>
      </c>
      <c r="D90">
        <v>9.4600000000000009</v>
      </c>
      <c r="E90">
        <v>1.3</v>
      </c>
      <c r="F90">
        <v>398.4</v>
      </c>
      <c r="G90">
        <v>399.7</v>
      </c>
      <c r="H90">
        <v>1.389</v>
      </c>
    </row>
    <row r="91" spans="1:8" x14ac:dyDescent="0.3">
      <c r="A91">
        <v>90</v>
      </c>
      <c r="B91">
        <v>100</v>
      </c>
      <c r="C91">
        <v>422.19</v>
      </c>
      <c r="D91">
        <v>11.59</v>
      </c>
      <c r="E91">
        <v>1.3</v>
      </c>
      <c r="F91">
        <v>400.8</v>
      </c>
      <c r="G91">
        <v>402.1</v>
      </c>
      <c r="H91">
        <v>1.37</v>
      </c>
    </row>
    <row r="92" spans="1:8" x14ac:dyDescent="0.3">
      <c r="A92">
        <v>100</v>
      </c>
      <c r="B92">
        <v>10</v>
      </c>
      <c r="C92">
        <v>517.34500000000003</v>
      </c>
      <c r="D92">
        <v>4.91</v>
      </c>
      <c r="E92">
        <v>3.1</v>
      </c>
      <c r="F92">
        <v>403.4</v>
      </c>
      <c r="G92">
        <v>406.5</v>
      </c>
      <c r="H92">
        <v>3.4089999999999998</v>
      </c>
    </row>
    <row r="93" spans="1:8" x14ac:dyDescent="0.3">
      <c r="A93">
        <v>100</v>
      </c>
      <c r="B93">
        <v>20</v>
      </c>
      <c r="C93">
        <v>469.565</v>
      </c>
      <c r="D93">
        <v>4.78</v>
      </c>
      <c r="E93">
        <v>2.2000000000000002</v>
      </c>
      <c r="F93">
        <v>407.7</v>
      </c>
      <c r="G93">
        <v>409.9</v>
      </c>
      <c r="H93">
        <v>2.391</v>
      </c>
    </row>
    <row r="94" spans="1:8" x14ac:dyDescent="0.3">
      <c r="A94">
        <v>100</v>
      </c>
      <c r="B94">
        <v>30</v>
      </c>
      <c r="C94">
        <v>473.065</v>
      </c>
      <c r="D94">
        <v>5.3049999999999997</v>
      </c>
      <c r="E94">
        <v>2</v>
      </c>
      <c r="F94">
        <v>411</v>
      </c>
      <c r="G94">
        <v>413</v>
      </c>
      <c r="H94">
        <v>1.9650000000000001</v>
      </c>
    </row>
    <row r="95" spans="1:8" x14ac:dyDescent="0.3">
      <c r="A95">
        <v>100</v>
      </c>
      <c r="B95">
        <v>40</v>
      </c>
      <c r="C95">
        <v>441.83499999999998</v>
      </c>
      <c r="D95">
        <v>4.7350000000000003</v>
      </c>
      <c r="E95">
        <v>1.5</v>
      </c>
      <c r="F95">
        <v>414.1</v>
      </c>
      <c r="G95">
        <v>415.6</v>
      </c>
      <c r="H95">
        <v>1.7110000000000001</v>
      </c>
    </row>
    <row r="96" spans="1:8" x14ac:dyDescent="0.3">
      <c r="A96">
        <v>100</v>
      </c>
      <c r="B96">
        <v>50</v>
      </c>
      <c r="C96">
        <v>426.84</v>
      </c>
      <c r="D96">
        <v>5.1050000000000004</v>
      </c>
      <c r="E96">
        <v>1.5</v>
      </c>
      <c r="F96">
        <v>416.7</v>
      </c>
      <c r="G96">
        <v>418.2</v>
      </c>
      <c r="H96">
        <v>1.5649999999999999</v>
      </c>
    </row>
    <row r="97" spans="1:8" x14ac:dyDescent="0.3">
      <c r="A97">
        <v>100</v>
      </c>
      <c r="B97">
        <v>60</v>
      </c>
      <c r="C97">
        <v>409.99</v>
      </c>
      <c r="D97">
        <v>5.0250000000000004</v>
      </c>
      <c r="E97">
        <v>1.4</v>
      </c>
      <c r="F97">
        <v>419.3</v>
      </c>
      <c r="G97">
        <v>420.7</v>
      </c>
      <c r="H97">
        <v>1.468</v>
      </c>
    </row>
    <row r="98" spans="1:8" x14ac:dyDescent="0.3">
      <c r="A98">
        <v>100</v>
      </c>
      <c r="B98">
        <v>70</v>
      </c>
      <c r="C98">
        <v>409.32</v>
      </c>
      <c r="D98">
        <v>6.335</v>
      </c>
      <c r="E98">
        <v>1.3</v>
      </c>
      <c r="F98">
        <v>421.8</v>
      </c>
      <c r="G98">
        <v>423.1</v>
      </c>
      <c r="H98">
        <v>1.397</v>
      </c>
    </row>
    <row r="99" spans="1:8" x14ac:dyDescent="0.3">
      <c r="A99">
        <v>100</v>
      </c>
      <c r="B99">
        <v>80</v>
      </c>
      <c r="C99">
        <v>407.77499999999998</v>
      </c>
      <c r="D99">
        <v>8.5250000000000004</v>
      </c>
      <c r="E99">
        <v>1.3</v>
      </c>
      <c r="F99">
        <v>424.2</v>
      </c>
      <c r="G99">
        <v>425.5</v>
      </c>
      <c r="H99">
        <v>1.3540000000000001</v>
      </c>
    </row>
    <row r="100" spans="1:8" x14ac:dyDescent="0.3">
      <c r="A100">
        <v>100</v>
      </c>
      <c r="B100">
        <v>90</v>
      </c>
      <c r="C100">
        <v>421.32499999999999</v>
      </c>
      <c r="D100">
        <v>11.145</v>
      </c>
      <c r="E100">
        <v>1.2</v>
      </c>
      <c r="F100">
        <v>426.6</v>
      </c>
      <c r="G100">
        <v>427.8</v>
      </c>
      <c r="H100">
        <v>1.3169999999999999</v>
      </c>
    </row>
    <row r="101" spans="1:8" x14ac:dyDescent="0.3">
      <c r="A101">
        <v>100</v>
      </c>
      <c r="B101">
        <v>100</v>
      </c>
      <c r="C101">
        <v>421.255</v>
      </c>
      <c r="D101">
        <v>52.45</v>
      </c>
      <c r="E101">
        <v>1.2</v>
      </c>
      <c r="F101">
        <v>428.9</v>
      </c>
      <c r="G101">
        <v>430.1</v>
      </c>
      <c r="H101">
        <v>1.2869999999999999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87CD4-2770-477F-93FA-403674B14232}">
  <dimension ref="A1:H101"/>
  <sheetViews>
    <sheetView workbookViewId="0">
      <selection sqref="A1:H1048576"/>
    </sheetView>
  </sheetViews>
  <sheetFormatPr defaultRowHeight="14.4" x14ac:dyDescent="0.3"/>
  <cols>
    <col min="1" max="1" width="6" bestFit="1" customWidth="1"/>
    <col min="2" max="2" width="5.5546875" bestFit="1" customWidth="1"/>
    <col min="3" max="3" width="13.6640625" bestFit="1" customWidth="1"/>
    <col min="4" max="4" width="13.33203125" bestFit="1" customWidth="1"/>
    <col min="5" max="5" width="14.88671875" bestFit="1" customWidth="1"/>
    <col min="6" max="6" width="11.6640625" bestFit="1" customWidth="1"/>
    <col min="7" max="7" width="10.88671875" bestFit="1" customWidth="1"/>
  </cols>
  <sheetData>
    <row r="1" spans="1:8" x14ac:dyDescent="0.3">
      <c r="A1" t="s">
        <v>16</v>
      </c>
      <c r="B1" t="s">
        <v>17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14</v>
      </c>
    </row>
    <row r="2" spans="1:8" x14ac:dyDescent="0.3">
      <c r="A2">
        <v>10</v>
      </c>
      <c r="B2">
        <v>10</v>
      </c>
      <c r="C2">
        <v>1076.135</v>
      </c>
      <c r="D2">
        <v>4.59</v>
      </c>
      <c r="E2">
        <v>9.1999999999999993</v>
      </c>
      <c r="F2">
        <v>4.8</v>
      </c>
      <c r="G2">
        <v>14</v>
      </c>
      <c r="H2">
        <v>9.6340000000000003</v>
      </c>
    </row>
    <row r="3" spans="1:8" x14ac:dyDescent="0.3">
      <c r="A3">
        <v>10</v>
      </c>
      <c r="B3">
        <v>20</v>
      </c>
      <c r="C3">
        <v>1070.2149999999999</v>
      </c>
      <c r="D3">
        <v>4.8250000000000002</v>
      </c>
      <c r="E3">
        <v>9.1</v>
      </c>
      <c r="F3">
        <v>15.3</v>
      </c>
      <c r="G3">
        <v>24.4</v>
      </c>
      <c r="H3">
        <v>9.1419999999999995</v>
      </c>
    </row>
    <row r="4" spans="1:8" x14ac:dyDescent="0.3">
      <c r="A4">
        <v>10</v>
      </c>
      <c r="B4">
        <v>30</v>
      </c>
      <c r="C4">
        <v>1053.0999999999999</v>
      </c>
      <c r="D4">
        <v>4.5449999999999999</v>
      </c>
      <c r="E4">
        <v>8.9</v>
      </c>
      <c r="F4">
        <v>25.5</v>
      </c>
      <c r="G4">
        <v>34.4</v>
      </c>
      <c r="H4">
        <v>8.9700000000000006</v>
      </c>
    </row>
    <row r="5" spans="1:8" x14ac:dyDescent="0.3">
      <c r="A5">
        <v>10</v>
      </c>
      <c r="B5">
        <v>40</v>
      </c>
      <c r="C5">
        <v>1052.635</v>
      </c>
      <c r="D5">
        <v>4.87</v>
      </c>
      <c r="E5">
        <v>8.9</v>
      </c>
      <c r="F5">
        <v>35.4</v>
      </c>
      <c r="G5">
        <v>44.3</v>
      </c>
      <c r="H5">
        <v>8.8859999999999992</v>
      </c>
    </row>
    <row r="6" spans="1:8" x14ac:dyDescent="0.3">
      <c r="A6">
        <v>10</v>
      </c>
      <c r="B6">
        <v>50</v>
      </c>
      <c r="C6">
        <v>1042.2950000000001</v>
      </c>
      <c r="D6">
        <v>4.5999999999999996</v>
      </c>
      <c r="E6">
        <v>8.8000000000000007</v>
      </c>
      <c r="F6">
        <v>45.3</v>
      </c>
      <c r="G6">
        <v>54.1</v>
      </c>
      <c r="H6">
        <v>8.8379999999999992</v>
      </c>
    </row>
    <row r="7" spans="1:8" x14ac:dyDescent="0.3">
      <c r="A7">
        <v>10</v>
      </c>
      <c r="B7">
        <v>60</v>
      </c>
      <c r="C7">
        <v>1055.58</v>
      </c>
      <c r="D7">
        <v>4.6100000000000003</v>
      </c>
      <c r="E7">
        <v>8.9</v>
      </c>
      <c r="F7">
        <v>55.1</v>
      </c>
      <c r="G7">
        <v>64</v>
      </c>
      <c r="H7">
        <v>8.8019999999999996</v>
      </c>
    </row>
    <row r="8" spans="1:8" x14ac:dyDescent="0.3">
      <c r="A8">
        <v>10</v>
      </c>
      <c r="B8">
        <v>70</v>
      </c>
      <c r="C8">
        <v>1032.9349999999999</v>
      </c>
      <c r="D8">
        <v>4.6950000000000003</v>
      </c>
      <c r="E8">
        <v>8.6999999999999993</v>
      </c>
      <c r="F8">
        <v>65</v>
      </c>
      <c r="G8">
        <v>73.7</v>
      </c>
      <c r="H8">
        <v>8.7780000000000005</v>
      </c>
    </row>
    <row r="9" spans="1:8" x14ac:dyDescent="0.3">
      <c r="A9">
        <v>10</v>
      </c>
      <c r="B9">
        <v>80</v>
      </c>
      <c r="C9">
        <v>1055.54</v>
      </c>
      <c r="D9">
        <v>4.62</v>
      </c>
      <c r="E9">
        <v>8.9</v>
      </c>
      <c r="F9">
        <v>74.7</v>
      </c>
      <c r="G9">
        <v>83.6</v>
      </c>
      <c r="H9">
        <v>8.7720000000000002</v>
      </c>
    </row>
    <row r="10" spans="1:8" x14ac:dyDescent="0.3">
      <c r="A10">
        <v>10</v>
      </c>
      <c r="B10">
        <v>90</v>
      </c>
      <c r="C10">
        <v>1031.1849999999999</v>
      </c>
      <c r="D10">
        <v>4.9249999999999998</v>
      </c>
      <c r="E10">
        <v>8.6999999999999993</v>
      </c>
      <c r="F10">
        <v>84.6</v>
      </c>
      <c r="G10">
        <v>93.3</v>
      </c>
      <c r="H10">
        <v>8.7590000000000003</v>
      </c>
    </row>
    <row r="11" spans="1:8" x14ac:dyDescent="0.3">
      <c r="A11">
        <v>10</v>
      </c>
      <c r="B11">
        <v>100</v>
      </c>
      <c r="C11">
        <v>1045.3050000000001</v>
      </c>
      <c r="D11">
        <v>5.63</v>
      </c>
      <c r="E11">
        <v>8.8000000000000007</v>
      </c>
      <c r="F11">
        <v>94.3</v>
      </c>
      <c r="G11">
        <v>103.1</v>
      </c>
      <c r="H11">
        <v>8.7490000000000006</v>
      </c>
    </row>
    <row r="12" spans="1:8" x14ac:dyDescent="0.3">
      <c r="A12">
        <v>20</v>
      </c>
      <c r="B12">
        <v>10</v>
      </c>
      <c r="C12">
        <v>733.84</v>
      </c>
      <c r="D12">
        <v>5.56</v>
      </c>
      <c r="E12">
        <v>5.4</v>
      </c>
      <c r="F12">
        <v>104.2</v>
      </c>
      <c r="G12">
        <v>109.6</v>
      </c>
      <c r="H12">
        <v>5.7640000000000002</v>
      </c>
    </row>
    <row r="13" spans="1:8" x14ac:dyDescent="0.3">
      <c r="A13">
        <v>20</v>
      </c>
      <c r="B13">
        <v>20</v>
      </c>
      <c r="C13">
        <v>676.24</v>
      </c>
      <c r="D13">
        <v>5.6349999999999998</v>
      </c>
      <c r="E13">
        <v>4.8</v>
      </c>
      <c r="F13">
        <v>111</v>
      </c>
      <c r="G13">
        <v>115.8</v>
      </c>
      <c r="H13">
        <v>5.0549999999999997</v>
      </c>
    </row>
    <row r="14" spans="1:8" x14ac:dyDescent="0.3">
      <c r="A14">
        <v>20</v>
      </c>
      <c r="B14">
        <v>30</v>
      </c>
      <c r="C14">
        <v>662.75</v>
      </c>
      <c r="D14">
        <v>5.71</v>
      </c>
      <c r="E14">
        <v>4.7</v>
      </c>
      <c r="F14">
        <v>117</v>
      </c>
      <c r="G14">
        <v>121.7</v>
      </c>
      <c r="H14">
        <v>4.82</v>
      </c>
    </row>
    <row r="15" spans="1:8" x14ac:dyDescent="0.3">
      <c r="A15">
        <v>20</v>
      </c>
      <c r="B15">
        <v>40</v>
      </c>
      <c r="C15">
        <v>656.14</v>
      </c>
      <c r="D15">
        <v>5.43</v>
      </c>
      <c r="E15">
        <v>4.5999999999999996</v>
      </c>
      <c r="F15">
        <v>122.8</v>
      </c>
      <c r="G15">
        <v>127.4</v>
      </c>
      <c r="H15">
        <v>4.7060000000000004</v>
      </c>
    </row>
    <row r="16" spans="1:8" x14ac:dyDescent="0.3">
      <c r="A16">
        <v>20</v>
      </c>
      <c r="B16">
        <v>50</v>
      </c>
      <c r="C16">
        <v>652.97</v>
      </c>
      <c r="D16">
        <v>4.875</v>
      </c>
      <c r="E16">
        <v>4.5999999999999996</v>
      </c>
      <c r="F16">
        <v>128.5</v>
      </c>
      <c r="G16">
        <v>133.1</v>
      </c>
      <c r="H16">
        <v>4.6349999999999998</v>
      </c>
    </row>
    <row r="17" spans="1:8" x14ac:dyDescent="0.3">
      <c r="A17">
        <v>20</v>
      </c>
      <c r="B17">
        <v>60</v>
      </c>
      <c r="C17">
        <v>652.52</v>
      </c>
      <c r="D17">
        <v>4.8499999999999996</v>
      </c>
      <c r="E17">
        <v>4.5999999999999996</v>
      </c>
      <c r="F17">
        <v>134.1</v>
      </c>
      <c r="G17">
        <v>138.69999999999999</v>
      </c>
      <c r="H17">
        <v>4.5960000000000001</v>
      </c>
    </row>
    <row r="18" spans="1:8" x14ac:dyDescent="0.3">
      <c r="A18">
        <v>20</v>
      </c>
      <c r="B18">
        <v>70</v>
      </c>
      <c r="C18">
        <v>652.26</v>
      </c>
      <c r="D18">
        <v>4.8150000000000004</v>
      </c>
      <c r="E18">
        <v>4.5999999999999996</v>
      </c>
      <c r="F18">
        <v>139.69999999999999</v>
      </c>
      <c r="G18">
        <v>144.30000000000001</v>
      </c>
      <c r="H18">
        <v>4.5640000000000001</v>
      </c>
    </row>
    <row r="19" spans="1:8" x14ac:dyDescent="0.3">
      <c r="A19">
        <v>20</v>
      </c>
      <c r="B19">
        <v>80</v>
      </c>
      <c r="C19">
        <v>652.78</v>
      </c>
      <c r="D19">
        <v>4.2549999999999999</v>
      </c>
      <c r="E19">
        <v>4.5999999999999996</v>
      </c>
      <c r="F19">
        <v>145.30000000000001</v>
      </c>
      <c r="G19">
        <v>149.9</v>
      </c>
      <c r="H19">
        <v>4.5430000000000001</v>
      </c>
    </row>
    <row r="20" spans="1:8" x14ac:dyDescent="0.3">
      <c r="A20">
        <v>20</v>
      </c>
      <c r="B20">
        <v>90</v>
      </c>
      <c r="C20">
        <v>654.69500000000005</v>
      </c>
      <c r="D20">
        <v>5.0599999999999996</v>
      </c>
      <c r="E20">
        <v>4.5999999999999996</v>
      </c>
      <c r="F20">
        <v>150.80000000000001</v>
      </c>
      <c r="G20">
        <v>155.4</v>
      </c>
      <c r="H20">
        <v>4.532</v>
      </c>
    </row>
    <row r="21" spans="1:8" x14ac:dyDescent="0.3">
      <c r="A21">
        <v>20</v>
      </c>
      <c r="B21">
        <v>100</v>
      </c>
      <c r="C21">
        <v>644.27</v>
      </c>
      <c r="D21">
        <v>6.06</v>
      </c>
      <c r="E21">
        <v>4.5</v>
      </c>
      <c r="F21">
        <v>156.4</v>
      </c>
      <c r="G21">
        <v>160.9</v>
      </c>
      <c r="H21">
        <v>4.5179999999999998</v>
      </c>
    </row>
    <row r="22" spans="1:8" x14ac:dyDescent="0.3">
      <c r="A22">
        <v>30</v>
      </c>
      <c r="B22">
        <v>10</v>
      </c>
      <c r="C22">
        <v>627.45500000000004</v>
      </c>
      <c r="D22">
        <v>5.03</v>
      </c>
      <c r="E22">
        <v>4.2</v>
      </c>
      <c r="F22">
        <v>162.1</v>
      </c>
      <c r="G22">
        <v>166.3</v>
      </c>
      <c r="H22">
        <v>4.6529999999999996</v>
      </c>
    </row>
    <row r="23" spans="1:8" x14ac:dyDescent="0.3">
      <c r="A23">
        <v>30</v>
      </c>
      <c r="B23">
        <v>20</v>
      </c>
      <c r="C23">
        <v>573.28499999999997</v>
      </c>
      <c r="D23">
        <v>5.1449999999999996</v>
      </c>
      <c r="E23">
        <v>3.6</v>
      </c>
      <c r="F23">
        <v>167.7</v>
      </c>
      <c r="G23">
        <v>171.3</v>
      </c>
      <c r="H23">
        <v>3.7850000000000001</v>
      </c>
    </row>
    <row r="24" spans="1:8" x14ac:dyDescent="0.3">
      <c r="A24">
        <v>30</v>
      </c>
      <c r="B24">
        <v>30</v>
      </c>
      <c r="C24">
        <v>558.745</v>
      </c>
      <c r="D24">
        <v>5.125</v>
      </c>
      <c r="E24">
        <v>3.4</v>
      </c>
      <c r="F24">
        <v>172.4</v>
      </c>
      <c r="G24">
        <v>175.8</v>
      </c>
      <c r="H24">
        <v>3.4980000000000002</v>
      </c>
    </row>
    <row r="25" spans="1:8" x14ac:dyDescent="0.3">
      <c r="A25">
        <v>30</v>
      </c>
      <c r="B25">
        <v>40</v>
      </c>
      <c r="C25">
        <v>552.39499999999998</v>
      </c>
      <c r="D25">
        <v>5.0949999999999998</v>
      </c>
      <c r="E25">
        <v>3.3</v>
      </c>
      <c r="F25">
        <v>176.9</v>
      </c>
      <c r="G25">
        <v>180.2</v>
      </c>
      <c r="H25">
        <v>3.3580000000000001</v>
      </c>
    </row>
    <row r="26" spans="1:8" x14ac:dyDescent="0.3">
      <c r="A26">
        <v>30</v>
      </c>
      <c r="B26">
        <v>50</v>
      </c>
      <c r="C26">
        <v>538.67499999999995</v>
      </c>
      <c r="D26">
        <v>4.875</v>
      </c>
      <c r="E26">
        <v>3.2</v>
      </c>
      <c r="F26">
        <v>181.3</v>
      </c>
      <c r="G26">
        <v>184.5</v>
      </c>
      <c r="H26">
        <v>3.2719999999999998</v>
      </c>
    </row>
    <row r="27" spans="1:8" x14ac:dyDescent="0.3">
      <c r="A27">
        <v>30</v>
      </c>
      <c r="B27">
        <v>60</v>
      </c>
      <c r="C27">
        <v>529.54499999999996</v>
      </c>
      <c r="D27">
        <v>4.4050000000000002</v>
      </c>
      <c r="E27">
        <v>3.2</v>
      </c>
      <c r="F27">
        <v>185.5</v>
      </c>
      <c r="G27">
        <v>188.7</v>
      </c>
      <c r="H27">
        <v>3.2189999999999999</v>
      </c>
    </row>
    <row r="28" spans="1:8" x14ac:dyDescent="0.3">
      <c r="A28">
        <v>30</v>
      </c>
      <c r="B28">
        <v>70</v>
      </c>
      <c r="C28">
        <v>556.20500000000004</v>
      </c>
      <c r="D28">
        <v>5.1150000000000002</v>
      </c>
      <c r="E28">
        <v>3.3</v>
      </c>
      <c r="F28">
        <v>189.7</v>
      </c>
      <c r="G28">
        <v>193</v>
      </c>
      <c r="H28">
        <v>3.1859999999999999</v>
      </c>
    </row>
    <row r="29" spans="1:8" x14ac:dyDescent="0.3">
      <c r="A29">
        <v>30</v>
      </c>
      <c r="B29">
        <v>80</v>
      </c>
      <c r="C29">
        <v>521.70500000000004</v>
      </c>
      <c r="D29">
        <v>4.6050000000000004</v>
      </c>
      <c r="E29">
        <v>3.1</v>
      </c>
      <c r="F29">
        <v>194</v>
      </c>
      <c r="G29">
        <v>197.1</v>
      </c>
      <c r="H29">
        <v>3.1579999999999999</v>
      </c>
    </row>
    <row r="30" spans="1:8" x14ac:dyDescent="0.3">
      <c r="A30">
        <v>30</v>
      </c>
      <c r="B30">
        <v>90</v>
      </c>
      <c r="C30">
        <v>541.15</v>
      </c>
      <c r="D30">
        <v>5.14</v>
      </c>
      <c r="E30">
        <v>3.2</v>
      </c>
      <c r="F30">
        <v>198.1</v>
      </c>
      <c r="G30">
        <v>201.3</v>
      </c>
      <c r="H30">
        <v>3.1429999999999998</v>
      </c>
    </row>
    <row r="31" spans="1:8" x14ac:dyDescent="0.3">
      <c r="A31">
        <v>30</v>
      </c>
      <c r="B31">
        <v>100</v>
      </c>
      <c r="C31">
        <v>532.75</v>
      </c>
      <c r="D31">
        <v>5.7850000000000001</v>
      </c>
      <c r="E31">
        <v>3.1</v>
      </c>
      <c r="F31">
        <v>202.3</v>
      </c>
      <c r="G31">
        <v>205.4</v>
      </c>
      <c r="H31">
        <v>3.129</v>
      </c>
    </row>
    <row r="32" spans="1:8" x14ac:dyDescent="0.3">
      <c r="A32">
        <v>40</v>
      </c>
      <c r="B32">
        <v>10</v>
      </c>
      <c r="C32">
        <v>616.79499999999996</v>
      </c>
      <c r="D32">
        <v>5.0350000000000001</v>
      </c>
      <c r="E32">
        <v>4</v>
      </c>
      <c r="F32">
        <v>206.5</v>
      </c>
      <c r="G32">
        <v>210.5</v>
      </c>
      <c r="H32">
        <v>4.2050000000000001</v>
      </c>
    </row>
    <row r="33" spans="1:8" x14ac:dyDescent="0.3">
      <c r="A33">
        <v>40</v>
      </c>
      <c r="B33">
        <v>20</v>
      </c>
      <c r="C33">
        <v>543.91999999999996</v>
      </c>
      <c r="D33">
        <v>5.27</v>
      </c>
      <c r="E33">
        <v>3.1</v>
      </c>
      <c r="F33">
        <v>211.7</v>
      </c>
      <c r="G33">
        <v>214.8</v>
      </c>
      <c r="H33">
        <v>3.2069999999999999</v>
      </c>
    </row>
    <row r="34" spans="1:8" x14ac:dyDescent="0.3">
      <c r="A34">
        <v>40</v>
      </c>
      <c r="B34">
        <v>30</v>
      </c>
      <c r="C34">
        <v>506.78500000000003</v>
      </c>
      <c r="D34">
        <v>4.9950000000000001</v>
      </c>
      <c r="E34">
        <v>2.7</v>
      </c>
      <c r="F34">
        <v>215.9</v>
      </c>
      <c r="G34">
        <v>218.6</v>
      </c>
      <c r="H34">
        <v>2.875</v>
      </c>
    </row>
    <row r="35" spans="1:8" x14ac:dyDescent="0.3">
      <c r="A35">
        <v>40</v>
      </c>
      <c r="B35">
        <v>40</v>
      </c>
      <c r="C35">
        <v>506.61</v>
      </c>
      <c r="D35">
        <v>5.7050000000000001</v>
      </c>
      <c r="E35">
        <v>2.7</v>
      </c>
      <c r="F35">
        <v>219.7</v>
      </c>
      <c r="G35">
        <v>222.4</v>
      </c>
      <c r="H35">
        <v>2.706</v>
      </c>
    </row>
    <row r="36" spans="1:8" x14ac:dyDescent="0.3">
      <c r="A36">
        <v>40</v>
      </c>
      <c r="B36">
        <v>50</v>
      </c>
      <c r="C36">
        <v>473.39499999999998</v>
      </c>
      <c r="D36">
        <v>5.27</v>
      </c>
      <c r="E36">
        <v>2.5</v>
      </c>
      <c r="F36">
        <v>223.5</v>
      </c>
      <c r="G36">
        <v>226</v>
      </c>
      <c r="H36">
        <v>2.61</v>
      </c>
    </row>
    <row r="37" spans="1:8" x14ac:dyDescent="0.3">
      <c r="A37">
        <v>40</v>
      </c>
      <c r="B37">
        <v>60</v>
      </c>
      <c r="C37">
        <v>477.41</v>
      </c>
      <c r="D37">
        <v>4.8550000000000004</v>
      </c>
      <c r="E37">
        <v>2.5</v>
      </c>
      <c r="F37">
        <v>227.1</v>
      </c>
      <c r="G37">
        <v>229.6</v>
      </c>
      <c r="H37">
        <v>2.5499999999999998</v>
      </c>
    </row>
    <row r="38" spans="1:8" x14ac:dyDescent="0.3">
      <c r="A38">
        <v>40</v>
      </c>
      <c r="B38">
        <v>70</v>
      </c>
      <c r="C38">
        <v>486.07</v>
      </c>
      <c r="D38">
        <v>5.01</v>
      </c>
      <c r="E38">
        <v>2.5</v>
      </c>
      <c r="F38">
        <v>230.6</v>
      </c>
      <c r="G38">
        <v>233.1</v>
      </c>
      <c r="H38">
        <v>2.5089999999999999</v>
      </c>
    </row>
    <row r="39" spans="1:8" x14ac:dyDescent="0.3">
      <c r="A39">
        <v>40</v>
      </c>
      <c r="B39">
        <v>80</v>
      </c>
      <c r="C39">
        <v>506.17</v>
      </c>
      <c r="D39">
        <v>5.27</v>
      </c>
      <c r="E39">
        <v>2.5</v>
      </c>
      <c r="F39">
        <v>234.1</v>
      </c>
      <c r="G39">
        <v>236.6</v>
      </c>
      <c r="H39">
        <v>2.4820000000000002</v>
      </c>
    </row>
    <row r="40" spans="1:8" x14ac:dyDescent="0.3">
      <c r="A40">
        <v>40</v>
      </c>
      <c r="B40">
        <v>90</v>
      </c>
      <c r="C40">
        <v>477.18</v>
      </c>
      <c r="D40">
        <v>5.12</v>
      </c>
      <c r="E40">
        <v>2.4</v>
      </c>
      <c r="F40">
        <v>237.7</v>
      </c>
      <c r="G40">
        <v>240.1</v>
      </c>
      <c r="H40">
        <v>2.4649999999999999</v>
      </c>
    </row>
    <row r="41" spans="1:8" x14ac:dyDescent="0.3">
      <c r="A41">
        <v>40</v>
      </c>
      <c r="B41">
        <v>100</v>
      </c>
      <c r="C41">
        <v>478.435</v>
      </c>
      <c r="D41">
        <v>6.4</v>
      </c>
      <c r="E41">
        <v>2.4</v>
      </c>
      <c r="F41">
        <v>241.1</v>
      </c>
      <c r="G41">
        <v>243.5</v>
      </c>
      <c r="H41">
        <v>2.4500000000000002</v>
      </c>
    </row>
    <row r="42" spans="1:8" x14ac:dyDescent="0.3">
      <c r="A42">
        <v>50</v>
      </c>
      <c r="B42">
        <v>10</v>
      </c>
      <c r="C42">
        <v>600.755</v>
      </c>
      <c r="D42">
        <v>5.2050000000000001</v>
      </c>
      <c r="E42">
        <v>3.7</v>
      </c>
      <c r="F42">
        <v>244.7</v>
      </c>
      <c r="G42">
        <v>248.4</v>
      </c>
      <c r="H42">
        <v>3.9769999999999999</v>
      </c>
    </row>
    <row r="43" spans="1:8" x14ac:dyDescent="0.3">
      <c r="A43">
        <v>50</v>
      </c>
      <c r="B43">
        <v>20</v>
      </c>
      <c r="C43">
        <v>525.08500000000004</v>
      </c>
      <c r="D43">
        <v>4.9850000000000003</v>
      </c>
      <c r="E43">
        <v>2.7</v>
      </c>
      <c r="F43">
        <v>249.7</v>
      </c>
      <c r="G43">
        <v>252.4</v>
      </c>
      <c r="H43">
        <v>2.8940000000000001</v>
      </c>
    </row>
    <row r="44" spans="1:8" x14ac:dyDescent="0.3">
      <c r="A44">
        <v>50</v>
      </c>
      <c r="B44">
        <v>30</v>
      </c>
      <c r="C44">
        <v>503.495</v>
      </c>
      <c r="D44">
        <v>4.84</v>
      </c>
      <c r="E44">
        <v>2.4</v>
      </c>
      <c r="F44">
        <v>253.5</v>
      </c>
      <c r="G44">
        <v>255.9</v>
      </c>
      <c r="H44">
        <v>2.524</v>
      </c>
    </row>
    <row r="45" spans="1:8" x14ac:dyDescent="0.3">
      <c r="A45">
        <v>50</v>
      </c>
      <c r="B45">
        <v>40</v>
      </c>
      <c r="C45">
        <v>496.65</v>
      </c>
      <c r="D45">
        <v>5.6</v>
      </c>
      <c r="E45">
        <v>2.2999999999999998</v>
      </c>
      <c r="F45">
        <v>257</v>
      </c>
      <c r="G45">
        <v>259.3</v>
      </c>
      <c r="H45">
        <v>2.3370000000000002</v>
      </c>
    </row>
    <row r="46" spans="1:8" x14ac:dyDescent="0.3">
      <c r="A46">
        <v>50</v>
      </c>
      <c r="B46">
        <v>50</v>
      </c>
      <c r="C46">
        <v>489.27499999999998</v>
      </c>
      <c r="D46">
        <v>4.6399999999999997</v>
      </c>
      <c r="E46">
        <v>2.2000000000000002</v>
      </c>
      <c r="F46">
        <v>260.39999999999998</v>
      </c>
      <c r="G46">
        <v>262.60000000000002</v>
      </c>
      <c r="H46">
        <v>2.2320000000000002</v>
      </c>
    </row>
    <row r="47" spans="1:8" x14ac:dyDescent="0.3">
      <c r="A47">
        <v>50</v>
      </c>
      <c r="B47">
        <v>60</v>
      </c>
      <c r="C47">
        <v>483.76</v>
      </c>
      <c r="D47">
        <v>5.4450000000000003</v>
      </c>
      <c r="E47">
        <v>2.1</v>
      </c>
      <c r="F47">
        <v>263.60000000000002</v>
      </c>
      <c r="G47">
        <v>265.7</v>
      </c>
      <c r="H47">
        <v>2.1659999999999999</v>
      </c>
    </row>
    <row r="48" spans="1:8" x14ac:dyDescent="0.3">
      <c r="A48">
        <v>50</v>
      </c>
      <c r="B48">
        <v>70</v>
      </c>
      <c r="C48">
        <v>468.78500000000003</v>
      </c>
      <c r="D48">
        <v>5.5</v>
      </c>
      <c r="E48">
        <v>2</v>
      </c>
      <c r="F48">
        <v>266.8</v>
      </c>
      <c r="G48">
        <v>268.8</v>
      </c>
      <c r="H48">
        <v>2.1190000000000002</v>
      </c>
    </row>
    <row r="49" spans="1:8" x14ac:dyDescent="0.3">
      <c r="A49">
        <v>50</v>
      </c>
      <c r="B49">
        <v>80</v>
      </c>
      <c r="C49">
        <v>465.44</v>
      </c>
      <c r="D49">
        <v>4.72</v>
      </c>
      <c r="E49">
        <v>2</v>
      </c>
      <c r="F49">
        <v>269.89999999999998</v>
      </c>
      <c r="G49">
        <v>271.89999999999998</v>
      </c>
      <c r="H49">
        <v>2.0870000000000002</v>
      </c>
    </row>
    <row r="50" spans="1:8" x14ac:dyDescent="0.3">
      <c r="A50">
        <v>50</v>
      </c>
      <c r="B50">
        <v>90</v>
      </c>
      <c r="C50">
        <v>476.15499999999997</v>
      </c>
      <c r="D50">
        <v>5.5350000000000001</v>
      </c>
      <c r="E50">
        <v>2.1</v>
      </c>
      <c r="F50">
        <v>272.89999999999998</v>
      </c>
      <c r="G50">
        <v>275</v>
      </c>
      <c r="H50">
        <v>2.0630000000000002</v>
      </c>
    </row>
    <row r="51" spans="1:8" x14ac:dyDescent="0.3">
      <c r="A51">
        <v>50</v>
      </c>
      <c r="B51">
        <v>100</v>
      </c>
      <c r="C51">
        <v>462.03</v>
      </c>
      <c r="D51">
        <v>6.39</v>
      </c>
      <c r="E51">
        <v>2</v>
      </c>
      <c r="F51">
        <v>276.10000000000002</v>
      </c>
      <c r="G51">
        <v>278.10000000000002</v>
      </c>
      <c r="H51">
        <v>2.048</v>
      </c>
    </row>
    <row r="52" spans="1:8" x14ac:dyDescent="0.3">
      <c r="A52">
        <v>60</v>
      </c>
      <c r="B52">
        <v>10</v>
      </c>
      <c r="C52">
        <v>581.67499999999995</v>
      </c>
      <c r="D52">
        <v>4.3650000000000002</v>
      </c>
      <c r="E52">
        <v>3.5</v>
      </c>
      <c r="F52">
        <v>279.3</v>
      </c>
      <c r="G52">
        <v>282.8</v>
      </c>
      <c r="H52">
        <v>3.8029999999999999</v>
      </c>
    </row>
    <row r="53" spans="1:8" x14ac:dyDescent="0.3">
      <c r="A53">
        <v>60</v>
      </c>
      <c r="B53">
        <v>20</v>
      </c>
      <c r="C53">
        <v>524.40499999999997</v>
      </c>
      <c r="D53">
        <v>5.9950000000000001</v>
      </c>
      <c r="E53">
        <v>2.6</v>
      </c>
      <c r="F53">
        <v>284</v>
      </c>
      <c r="G53">
        <v>286.60000000000002</v>
      </c>
      <c r="H53">
        <v>2.72</v>
      </c>
    </row>
    <row r="54" spans="1:8" x14ac:dyDescent="0.3">
      <c r="A54">
        <v>60</v>
      </c>
      <c r="B54">
        <v>30</v>
      </c>
      <c r="C54">
        <v>479.57</v>
      </c>
      <c r="D54">
        <v>5.2</v>
      </c>
      <c r="E54">
        <v>2.1</v>
      </c>
      <c r="F54">
        <v>287.8</v>
      </c>
      <c r="G54">
        <v>289.89999999999998</v>
      </c>
      <c r="H54">
        <v>2.3079999999999998</v>
      </c>
    </row>
    <row r="55" spans="1:8" x14ac:dyDescent="0.3">
      <c r="A55">
        <v>60</v>
      </c>
      <c r="B55">
        <v>40</v>
      </c>
      <c r="C55">
        <v>474.17500000000001</v>
      </c>
      <c r="D55">
        <v>5.5250000000000004</v>
      </c>
      <c r="E55">
        <v>2.1</v>
      </c>
      <c r="F55">
        <v>291</v>
      </c>
      <c r="G55">
        <v>293.10000000000002</v>
      </c>
      <c r="H55">
        <v>2.105</v>
      </c>
    </row>
    <row r="56" spans="1:8" x14ac:dyDescent="0.3">
      <c r="A56">
        <v>60</v>
      </c>
      <c r="B56">
        <v>50</v>
      </c>
      <c r="C56">
        <v>464.97</v>
      </c>
      <c r="D56">
        <v>4.91</v>
      </c>
      <c r="E56">
        <v>1.8</v>
      </c>
      <c r="F56">
        <v>294.2</v>
      </c>
      <c r="G56">
        <v>296</v>
      </c>
      <c r="H56">
        <v>1.9890000000000001</v>
      </c>
    </row>
    <row r="57" spans="1:8" x14ac:dyDescent="0.3">
      <c r="A57">
        <v>60</v>
      </c>
      <c r="B57">
        <v>60</v>
      </c>
      <c r="C57">
        <v>447.28</v>
      </c>
      <c r="D57">
        <v>4.7649999999999997</v>
      </c>
      <c r="E57">
        <v>1.9</v>
      </c>
      <c r="F57">
        <v>297.10000000000002</v>
      </c>
      <c r="G57">
        <v>299</v>
      </c>
      <c r="H57">
        <v>1.915</v>
      </c>
    </row>
    <row r="58" spans="1:8" x14ac:dyDescent="0.3">
      <c r="A58">
        <v>60</v>
      </c>
      <c r="B58">
        <v>70</v>
      </c>
      <c r="C58">
        <v>456.28500000000003</v>
      </c>
      <c r="D58">
        <v>4.7350000000000003</v>
      </c>
      <c r="E58">
        <v>1.9</v>
      </c>
      <c r="F58">
        <v>300</v>
      </c>
      <c r="G58">
        <v>301.89999999999998</v>
      </c>
      <c r="H58">
        <v>1.865</v>
      </c>
    </row>
    <row r="59" spans="1:8" x14ac:dyDescent="0.3">
      <c r="A59">
        <v>60</v>
      </c>
      <c r="B59">
        <v>80</v>
      </c>
      <c r="C59">
        <v>467.67</v>
      </c>
      <c r="D59">
        <v>5.4349999999999996</v>
      </c>
      <c r="E59">
        <v>1.8</v>
      </c>
      <c r="F59">
        <v>302.89999999999998</v>
      </c>
      <c r="G59">
        <v>304.7</v>
      </c>
      <c r="H59">
        <v>1.829</v>
      </c>
    </row>
    <row r="60" spans="1:8" x14ac:dyDescent="0.3">
      <c r="A60">
        <v>60</v>
      </c>
      <c r="B60">
        <v>90</v>
      </c>
      <c r="C60">
        <v>464.17</v>
      </c>
      <c r="D60">
        <v>5.6550000000000002</v>
      </c>
      <c r="E60">
        <v>1.7</v>
      </c>
      <c r="F60">
        <v>305.8</v>
      </c>
      <c r="G60">
        <v>307.5</v>
      </c>
      <c r="H60">
        <v>1.8029999999999999</v>
      </c>
    </row>
    <row r="61" spans="1:8" x14ac:dyDescent="0.3">
      <c r="A61">
        <v>60</v>
      </c>
      <c r="B61">
        <v>100</v>
      </c>
      <c r="C61">
        <v>463.66500000000002</v>
      </c>
      <c r="D61">
        <v>6.31</v>
      </c>
      <c r="E61">
        <v>1.7</v>
      </c>
      <c r="F61">
        <v>308.60000000000002</v>
      </c>
      <c r="G61">
        <v>310.3</v>
      </c>
      <c r="H61">
        <v>1.7829999999999999</v>
      </c>
    </row>
    <row r="62" spans="1:8" x14ac:dyDescent="0.3">
      <c r="A62">
        <v>70</v>
      </c>
      <c r="B62">
        <v>10</v>
      </c>
      <c r="C62">
        <v>561.57500000000005</v>
      </c>
      <c r="D62">
        <v>4.875</v>
      </c>
      <c r="E62">
        <v>3.4</v>
      </c>
      <c r="F62">
        <v>311.5</v>
      </c>
      <c r="G62">
        <v>314.89999999999998</v>
      </c>
      <c r="H62">
        <v>3.6640000000000001</v>
      </c>
    </row>
    <row r="63" spans="1:8" x14ac:dyDescent="0.3">
      <c r="A63">
        <v>70</v>
      </c>
      <c r="B63">
        <v>20</v>
      </c>
      <c r="C63">
        <v>506.51499999999999</v>
      </c>
      <c r="D63">
        <v>5.75</v>
      </c>
      <c r="E63">
        <v>2.5</v>
      </c>
      <c r="F63">
        <v>316.10000000000002</v>
      </c>
      <c r="G63">
        <v>318.60000000000002</v>
      </c>
      <c r="H63">
        <v>2.613</v>
      </c>
    </row>
    <row r="64" spans="1:8" x14ac:dyDescent="0.3">
      <c r="A64">
        <v>70</v>
      </c>
      <c r="B64">
        <v>30</v>
      </c>
      <c r="C64">
        <v>473.64</v>
      </c>
      <c r="D64">
        <v>5.4850000000000003</v>
      </c>
      <c r="E64">
        <v>2.1</v>
      </c>
      <c r="F64">
        <v>319.7</v>
      </c>
      <c r="G64">
        <v>321.8</v>
      </c>
      <c r="H64">
        <v>2.1709999999999998</v>
      </c>
    </row>
    <row r="65" spans="1:8" x14ac:dyDescent="0.3">
      <c r="A65">
        <v>70</v>
      </c>
      <c r="B65">
        <v>40</v>
      </c>
      <c r="C65">
        <v>459.125</v>
      </c>
      <c r="D65">
        <v>5.2649999999999997</v>
      </c>
      <c r="E65">
        <v>1.8</v>
      </c>
      <c r="F65">
        <v>322.89999999999998</v>
      </c>
      <c r="G65">
        <v>324.7</v>
      </c>
      <c r="H65">
        <v>1.954</v>
      </c>
    </row>
    <row r="66" spans="1:8" x14ac:dyDescent="0.3">
      <c r="A66">
        <v>70</v>
      </c>
      <c r="B66">
        <v>50</v>
      </c>
      <c r="C66">
        <v>461.82499999999999</v>
      </c>
      <c r="D66">
        <v>5.4550000000000001</v>
      </c>
      <c r="E66">
        <v>1.7</v>
      </c>
      <c r="F66">
        <v>325.8</v>
      </c>
      <c r="G66">
        <v>327.5</v>
      </c>
      <c r="H66">
        <v>1.825</v>
      </c>
    </row>
    <row r="67" spans="1:8" x14ac:dyDescent="0.3">
      <c r="A67">
        <v>70</v>
      </c>
      <c r="B67">
        <v>60</v>
      </c>
      <c r="C67">
        <v>468.065</v>
      </c>
      <c r="D67">
        <v>5.5549999999999997</v>
      </c>
      <c r="E67">
        <v>1.7</v>
      </c>
      <c r="F67">
        <v>328.6</v>
      </c>
      <c r="G67">
        <v>330.3</v>
      </c>
      <c r="H67">
        <v>1.746</v>
      </c>
    </row>
    <row r="68" spans="1:8" x14ac:dyDescent="0.3">
      <c r="A68">
        <v>70</v>
      </c>
      <c r="B68">
        <v>70</v>
      </c>
      <c r="C68">
        <v>455.51499999999999</v>
      </c>
      <c r="D68">
        <v>5.39</v>
      </c>
      <c r="E68">
        <v>1.6</v>
      </c>
      <c r="F68">
        <v>331.4</v>
      </c>
      <c r="G68">
        <v>333</v>
      </c>
      <c r="H68">
        <v>1.6890000000000001</v>
      </c>
    </row>
    <row r="69" spans="1:8" x14ac:dyDescent="0.3">
      <c r="A69">
        <v>70</v>
      </c>
      <c r="B69">
        <v>80</v>
      </c>
      <c r="C69">
        <v>386.79</v>
      </c>
      <c r="D69">
        <v>6.35</v>
      </c>
      <c r="E69">
        <v>1.5</v>
      </c>
      <c r="F69">
        <v>334.1</v>
      </c>
      <c r="G69">
        <v>335.6</v>
      </c>
      <c r="H69">
        <v>1.651</v>
      </c>
    </row>
    <row r="70" spans="1:8" x14ac:dyDescent="0.3">
      <c r="A70">
        <v>70</v>
      </c>
      <c r="B70">
        <v>90</v>
      </c>
      <c r="C70">
        <v>453.875</v>
      </c>
      <c r="D70">
        <v>6.0650000000000004</v>
      </c>
      <c r="E70">
        <v>1.6</v>
      </c>
      <c r="F70">
        <v>336.7</v>
      </c>
      <c r="G70">
        <v>338.3</v>
      </c>
      <c r="H70">
        <v>1.621</v>
      </c>
    </row>
    <row r="71" spans="1:8" x14ac:dyDescent="0.3">
      <c r="A71">
        <v>70</v>
      </c>
      <c r="B71">
        <v>100</v>
      </c>
      <c r="C71">
        <v>431.29500000000002</v>
      </c>
      <c r="D71">
        <v>7.2249999999999996</v>
      </c>
      <c r="E71">
        <v>1.5</v>
      </c>
      <c r="F71">
        <v>339.4</v>
      </c>
      <c r="G71">
        <v>340.9</v>
      </c>
      <c r="H71">
        <v>1.601</v>
      </c>
    </row>
    <row r="72" spans="1:8" x14ac:dyDescent="0.3">
      <c r="A72">
        <v>80</v>
      </c>
      <c r="B72">
        <v>10</v>
      </c>
      <c r="C72">
        <v>545.03499999999997</v>
      </c>
      <c r="D72">
        <v>5.585</v>
      </c>
      <c r="E72">
        <v>3.3</v>
      </c>
      <c r="F72">
        <v>342.1</v>
      </c>
      <c r="G72">
        <v>345.4</v>
      </c>
      <c r="H72">
        <v>3.5409999999999999</v>
      </c>
    </row>
    <row r="73" spans="1:8" x14ac:dyDescent="0.3">
      <c r="A73">
        <v>80</v>
      </c>
      <c r="B73">
        <v>20</v>
      </c>
      <c r="C73">
        <v>488.22500000000002</v>
      </c>
      <c r="D73">
        <v>5.27</v>
      </c>
      <c r="E73">
        <v>2.4</v>
      </c>
      <c r="F73">
        <v>346.6</v>
      </c>
      <c r="G73">
        <v>349</v>
      </c>
      <c r="H73">
        <v>2.5259999999999998</v>
      </c>
    </row>
    <row r="74" spans="1:8" x14ac:dyDescent="0.3">
      <c r="A74">
        <v>80</v>
      </c>
      <c r="B74">
        <v>30</v>
      </c>
      <c r="C74">
        <v>456.39499999999998</v>
      </c>
      <c r="D74">
        <v>5.0549999999999997</v>
      </c>
      <c r="E74">
        <v>2</v>
      </c>
      <c r="F74">
        <v>350.1</v>
      </c>
      <c r="G74">
        <v>352.1</v>
      </c>
      <c r="H74">
        <v>2.0779999999999998</v>
      </c>
    </row>
    <row r="75" spans="1:8" x14ac:dyDescent="0.3">
      <c r="A75">
        <v>80</v>
      </c>
      <c r="B75">
        <v>40</v>
      </c>
      <c r="C75">
        <v>443.08</v>
      </c>
      <c r="D75">
        <v>5.43</v>
      </c>
      <c r="E75">
        <v>1.7</v>
      </c>
      <c r="F75">
        <v>353.2</v>
      </c>
      <c r="G75">
        <v>354.9</v>
      </c>
      <c r="H75">
        <v>1.845</v>
      </c>
    </row>
    <row r="76" spans="1:8" x14ac:dyDescent="0.3">
      <c r="A76">
        <v>80</v>
      </c>
      <c r="B76">
        <v>50</v>
      </c>
      <c r="C76">
        <v>425.58499999999998</v>
      </c>
      <c r="D76">
        <v>4.875</v>
      </c>
      <c r="E76">
        <v>1.6</v>
      </c>
      <c r="F76">
        <v>356</v>
      </c>
      <c r="G76">
        <v>357.6</v>
      </c>
      <c r="H76">
        <v>1.712</v>
      </c>
    </row>
    <row r="77" spans="1:8" x14ac:dyDescent="0.3">
      <c r="A77">
        <v>80</v>
      </c>
      <c r="B77">
        <v>60</v>
      </c>
      <c r="C77">
        <v>451.67</v>
      </c>
      <c r="D77">
        <v>5.57</v>
      </c>
      <c r="E77">
        <v>1.6</v>
      </c>
      <c r="F77">
        <v>358.7</v>
      </c>
      <c r="G77">
        <v>360.3</v>
      </c>
      <c r="H77">
        <v>1.623</v>
      </c>
    </row>
    <row r="78" spans="1:8" x14ac:dyDescent="0.3">
      <c r="A78">
        <v>80</v>
      </c>
      <c r="B78">
        <v>70</v>
      </c>
      <c r="C78">
        <v>390.13499999999999</v>
      </c>
      <c r="D78">
        <v>5.9850000000000003</v>
      </c>
      <c r="E78">
        <v>1.4</v>
      </c>
      <c r="F78">
        <v>361.4</v>
      </c>
      <c r="G78">
        <v>362.8</v>
      </c>
      <c r="H78">
        <v>1.5649999999999999</v>
      </c>
    </row>
    <row r="79" spans="1:8" x14ac:dyDescent="0.3">
      <c r="A79">
        <v>80</v>
      </c>
      <c r="B79">
        <v>80</v>
      </c>
      <c r="C79">
        <v>448.02</v>
      </c>
      <c r="D79">
        <v>6.8650000000000002</v>
      </c>
      <c r="E79">
        <v>1.5</v>
      </c>
      <c r="F79">
        <v>363.9</v>
      </c>
      <c r="G79">
        <v>365.4</v>
      </c>
      <c r="H79">
        <v>1.522</v>
      </c>
    </row>
    <row r="80" spans="1:8" x14ac:dyDescent="0.3">
      <c r="A80">
        <v>80</v>
      </c>
      <c r="B80">
        <v>90</v>
      </c>
      <c r="C80">
        <v>434.185</v>
      </c>
      <c r="D80">
        <v>6.5750000000000002</v>
      </c>
      <c r="E80">
        <v>1.4</v>
      </c>
      <c r="F80">
        <v>366.5</v>
      </c>
      <c r="G80">
        <v>367.9</v>
      </c>
      <c r="H80">
        <v>1.4910000000000001</v>
      </c>
    </row>
    <row r="81" spans="1:8" x14ac:dyDescent="0.3">
      <c r="A81">
        <v>80</v>
      </c>
      <c r="B81">
        <v>100</v>
      </c>
      <c r="C81">
        <v>402.68</v>
      </c>
      <c r="D81">
        <v>8.64</v>
      </c>
      <c r="E81">
        <v>1.4</v>
      </c>
      <c r="F81">
        <v>369</v>
      </c>
      <c r="G81">
        <v>370.4</v>
      </c>
      <c r="H81">
        <v>1.47</v>
      </c>
    </row>
    <row r="82" spans="1:8" x14ac:dyDescent="0.3">
      <c r="A82">
        <v>90</v>
      </c>
      <c r="B82">
        <v>10</v>
      </c>
      <c r="C82">
        <v>532.49</v>
      </c>
      <c r="D82">
        <v>5.1950000000000003</v>
      </c>
      <c r="E82">
        <v>3.2</v>
      </c>
      <c r="F82">
        <v>371.6</v>
      </c>
      <c r="G82">
        <v>374.8</v>
      </c>
      <c r="H82">
        <v>3.4430000000000001</v>
      </c>
    </row>
    <row r="83" spans="1:8" x14ac:dyDescent="0.3">
      <c r="A83">
        <v>90</v>
      </c>
      <c r="B83">
        <v>20</v>
      </c>
      <c r="C83">
        <v>471.88499999999999</v>
      </c>
      <c r="D83">
        <v>5.76</v>
      </c>
      <c r="E83">
        <v>2.2999999999999998</v>
      </c>
      <c r="F83">
        <v>376</v>
      </c>
      <c r="G83">
        <v>378.3</v>
      </c>
      <c r="H83">
        <v>2.452</v>
      </c>
    </row>
    <row r="84" spans="1:8" x14ac:dyDescent="0.3">
      <c r="A84">
        <v>90</v>
      </c>
      <c r="B84">
        <v>30</v>
      </c>
      <c r="C84">
        <v>426.21</v>
      </c>
      <c r="D84">
        <v>5.4349999999999996</v>
      </c>
      <c r="E84">
        <v>1.8</v>
      </c>
      <c r="F84">
        <v>379.5</v>
      </c>
      <c r="G84">
        <v>381.3</v>
      </c>
      <c r="H84">
        <v>2.0129999999999999</v>
      </c>
    </row>
    <row r="85" spans="1:8" x14ac:dyDescent="0.3">
      <c r="A85">
        <v>90</v>
      </c>
      <c r="B85">
        <v>40</v>
      </c>
      <c r="C85">
        <v>431.99</v>
      </c>
      <c r="D85">
        <v>5.3150000000000004</v>
      </c>
      <c r="E85">
        <v>1.7</v>
      </c>
      <c r="F85">
        <v>382.4</v>
      </c>
      <c r="G85">
        <v>384.1</v>
      </c>
      <c r="H85">
        <v>1.768</v>
      </c>
    </row>
    <row r="86" spans="1:8" x14ac:dyDescent="0.3">
      <c r="A86">
        <v>90</v>
      </c>
      <c r="B86">
        <v>50</v>
      </c>
      <c r="C86">
        <v>422.49</v>
      </c>
      <c r="D86">
        <v>6.0049999999999999</v>
      </c>
      <c r="E86">
        <v>1.5</v>
      </c>
      <c r="F86">
        <v>385.2</v>
      </c>
      <c r="G86">
        <v>386.7</v>
      </c>
      <c r="H86">
        <v>1.631</v>
      </c>
    </row>
    <row r="87" spans="1:8" x14ac:dyDescent="0.3">
      <c r="A87">
        <v>90</v>
      </c>
      <c r="B87">
        <v>60</v>
      </c>
      <c r="C87">
        <v>396.99</v>
      </c>
      <c r="D87">
        <v>5.68</v>
      </c>
      <c r="E87">
        <v>1.3</v>
      </c>
      <c r="F87">
        <v>387.9</v>
      </c>
      <c r="G87">
        <v>389.2</v>
      </c>
      <c r="H87">
        <v>1.5309999999999999</v>
      </c>
    </row>
    <row r="88" spans="1:8" x14ac:dyDescent="0.3">
      <c r="A88">
        <v>90</v>
      </c>
      <c r="B88">
        <v>70</v>
      </c>
      <c r="C88">
        <v>437.685</v>
      </c>
      <c r="D88">
        <v>6.9850000000000003</v>
      </c>
      <c r="E88">
        <v>1.4</v>
      </c>
      <c r="F88">
        <v>390.3</v>
      </c>
      <c r="G88">
        <v>391.7</v>
      </c>
      <c r="H88">
        <v>1.4710000000000001</v>
      </c>
    </row>
    <row r="89" spans="1:8" x14ac:dyDescent="0.3">
      <c r="A89">
        <v>90</v>
      </c>
      <c r="B89">
        <v>80</v>
      </c>
      <c r="C89">
        <v>426.21499999999997</v>
      </c>
      <c r="D89">
        <v>9.65</v>
      </c>
      <c r="E89">
        <v>1.3</v>
      </c>
      <c r="F89">
        <v>392.8</v>
      </c>
      <c r="G89">
        <v>394.1</v>
      </c>
      <c r="H89">
        <v>1.427</v>
      </c>
    </row>
    <row r="90" spans="1:8" x14ac:dyDescent="0.3">
      <c r="A90">
        <v>90</v>
      </c>
      <c r="B90">
        <v>90</v>
      </c>
      <c r="C90">
        <v>425.13499999999999</v>
      </c>
      <c r="D90">
        <v>8.64</v>
      </c>
      <c r="E90">
        <v>1.3</v>
      </c>
      <c r="F90">
        <v>395.3</v>
      </c>
      <c r="G90">
        <v>396.6</v>
      </c>
      <c r="H90">
        <v>1.39</v>
      </c>
    </row>
    <row r="91" spans="1:8" x14ac:dyDescent="0.3">
      <c r="A91">
        <v>90</v>
      </c>
      <c r="B91">
        <v>100</v>
      </c>
      <c r="C91">
        <v>423.21</v>
      </c>
      <c r="D91">
        <v>12.38</v>
      </c>
      <c r="E91">
        <v>1.2</v>
      </c>
      <c r="F91">
        <v>397.7</v>
      </c>
      <c r="G91">
        <v>398.9</v>
      </c>
      <c r="H91">
        <v>1.37</v>
      </c>
    </row>
    <row r="92" spans="1:8" x14ac:dyDescent="0.3">
      <c r="A92">
        <v>100</v>
      </c>
      <c r="B92">
        <v>10</v>
      </c>
      <c r="C92">
        <v>514.31500000000005</v>
      </c>
      <c r="D92">
        <v>4.95</v>
      </c>
      <c r="E92">
        <v>3.1</v>
      </c>
      <c r="F92">
        <v>400.2</v>
      </c>
      <c r="G92">
        <v>403.3</v>
      </c>
      <c r="H92">
        <v>3.41</v>
      </c>
    </row>
    <row r="93" spans="1:8" x14ac:dyDescent="0.3">
      <c r="A93">
        <v>100</v>
      </c>
      <c r="B93">
        <v>20</v>
      </c>
      <c r="C93">
        <v>462.42500000000001</v>
      </c>
      <c r="D93">
        <v>5.75</v>
      </c>
      <c r="E93">
        <v>2.2000000000000002</v>
      </c>
      <c r="F93">
        <v>404.6</v>
      </c>
      <c r="G93">
        <v>406.8</v>
      </c>
      <c r="H93">
        <v>2.391</v>
      </c>
    </row>
    <row r="94" spans="1:8" x14ac:dyDescent="0.3">
      <c r="A94">
        <v>100</v>
      </c>
      <c r="B94">
        <v>30</v>
      </c>
      <c r="C94">
        <v>421.22</v>
      </c>
      <c r="D94">
        <v>5.0449999999999999</v>
      </c>
      <c r="E94">
        <v>1.8</v>
      </c>
      <c r="F94">
        <v>408</v>
      </c>
      <c r="G94">
        <v>409.8</v>
      </c>
      <c r="H94">
        <v>1.9650000000000001</v>
      </c>
    </row>
    <row r="95" spans="1:8" x14ac:dyDescent="0.3">
      <c r="A95">
        <v>100</v>
      </c>
      <c r="B95">
        <v>40</v>
      </c>
      <c r="C95">
        <v>413.495</v>
      </c>
      <c r="D95">
        <v>5.1849999999999996</v>
      </c>
      <c r="E95">
        <v>1.6</v>
      </c>
      <c r="F95">
        <v>410.9</v>
      </c>
      <c r="G95">
        <v>412.5</v>
      </c>
      <c r="H95">
        <v>1.7110000000000001</v>
      </c>
    </row>
    <row r="96" spans="1:8" x14ac:dyDescent="0.3">
      <c r="A96">
        <v>100</v>
      </c>
      <c r="B96">
        <v>50</v>
      </c>
      <c r="C96">
        <v>436.505</v>
      </c>
      <c r="D96">
        <v>5.8949999999999996</v>
      </c>
      <c r="E96">
        <v>1.4</v>
      </c>
      <c r="F96">
        <v>413.6</v>
      </c>
      <c r="G96">
        <v>415</v>
      </c>
      <c r="H96">
        <v>1.5620000000000001</v>
      </c>
    </row>
    <row r="97" spans="1:8" x14ac:dyDescent="0.3">
      <c r="A97">
        <v>100</v>
      </c>
      <c r="B97">
        <v>60</v>
      </c>
      <c r="C97">
        <v>406.20499999999998</v>
      </c>
      <c r="D97">
        <v>6.8150000000000004</v>
      </c>
      <c r="E97">
        <v>1.3</v>
      </c>
      <c r="F97">
        <v>416.2</v>
      </c>
      <c r="G97">
        <v>417.5</v>
      </c>
      <c r="H97">
        <v>1.47</v>
      </c>
    </row>
    <row r="98" spans="1:8" x14ac:dyDescent="0.3">
      <c r="A98">
        <v>100</v>
      </c>
      <c r="B98">
        <v>70</v>
      </c>
      <c r="C98">
        <v>413.91</v>
      </c>
      <c r="D98">
        <v>7.585</v>
      </c>
      <c r="E98">
        <v>1.2</v>
      </c>
      <c r="F98">
        <v>418.7</v>
      </c>
      <c r="G98">
        <v>419.9</v>
      </c>
      <c r="H98">
        <v>1.3979999999999999</v>
      </c>
    </row>
    <row r="99" spans="1:8" x14ac:dyDescent="0.3">
      <c r="A99">
        <v>100</v>
      </c>
      <c r="B99">
        <v>80</v>
      </c>
      <c r="C99">
        <v>412.47</v>
      </c>
      <c r="D99">
        <v>9.2799999999999994</v>
      </c>
      <c r="E99">
        <v>1.2</v>
      </c>
      <c r="F99">
        <v>421.1</v>
      </c>
      <c r="G99">
        <v>422.3</v>
      </c>
      <c r="H99">
        <v>1.353</v>
      </c>
    </row>
    <row r="100" spans="1:8" x14ac:dyDescent="0.3">
      <c r="A100">
        <v>100</v>
      </c>
      <c r="B100">
        <v>90</v>
      </c>
      <c r="C100">
        <v>404.58499999999998</v>
      </c>
      <c r="D100">
        <v>12.1</v>
      </c>
      <c r="E100">
        <v>1.2</v>
      </c>
      <c r="F100">
        <v>423.4</v>
      </c>
      <c r="G100">
        <v>424.6</v>
      </c>
      <c r="H100">
        <v>1.3160000000000001</v>
      </c>
    </row>
    <row r="101" spans="1:8" x14ac:dyDescent="0.3">
      <c r="A101">
        <v>100</v>
      </c>
      <c r="B101">
        <v>100</v>
      </c>
      <c r="C101">
        <v>451.505</v>
      </c>
      <c r="D101">
        <v>123.76</v>
      </c>
      <c r="E101">
        <v>1.2</v>
      </c>
      <c r="F101">
        <v>425.7</v>
      </c>
      <c r="G101">
        <v>426.9</v>
      </c>
      <c r="H101">
        <v>1.288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0D8CA-90EB-42E6-9F73-D17AE36FEC9B}">
  <dimension ref="A1:H101"/>
  <sheetViews>
    <sheetView zoomScale="70" zoomScaleNormal="70" workbookViewId="0">
      <selection sqref="A1:H1048576"/>
    </sheetView>
  </sheetViews>
  <sheetFormatPr defaultRowHeight="14.4" x14ac:dyDescent="0.3"/>
  <cols>
    <col min="1" max="1" width="6.33203125" bestFit="1" customWidth="1"/>
    <col min="2" max="2" width="5.5546875" bestFit="1" customWidth="1"/>
    <col min="3" max="3" width="13.88671875" bestFit="1" customWidth="1"/>
    <col min="4" max="4" width="13.5546875" bestFit="1" customWidth="1"/>
    <col min="5" max="5" width="15.6640625" bestFit="1" customWidth="1"/>
    <col min="6" max="6" width="12.21875" bestFit="1" customWidth="1"/>
    <col min="7" max="7" width="11.5546875" bestFit="1" customWidth="1"/>
  </cols>
  <sheetData>
    <row r="1" spans="1:8" x14ac:dyDescent="0.3">
      <c r="A1" t="s">
        <v>16</v>
      </c>
      <c r="B1" t="s">
        <v>17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14</v>
      </c>
    </row>
    <row r="2" spans="1:8" x14ac:dyDescent="0.3">
      <c r="A2">
        <v>10</v>
      </c>
      <c r="B2">
        <v>10</v>
      </c>
      <c r="C2">
        <v>1083.615</v>
      </c>
      <c r="D2">
        <v>5.69</v>
      </c>
      <c r="E2">
        <v>9.3000000000000007</v>
      </c>
      <c r="F2">
        <v>4.4000000000000004</v>
      </c>
      <c r="G2">
        <v>13.7</v>
      </c>
      <c r="H2">
        <v>9.6340000000000003</v>
      </c>
    </row>
    <row r="3" spans="1:8" x14ac:dyDescent="0.3">
      <c r="A3">
        <v>10</v>
      </c>
      <c r="B3">
        <v>20</v>
      </c>
      <c r="C3">
        <v>1055.7650000000001</v>
      </c>
      <c r="D3">
        <v>5.4649999999999999</v>
      </c>
      <c r="E3">
        <v>9</v>
      </c>
      <c r="F3">
        <v>15</v>
      </c>
      <c r="G3">
        <v>24</v>
      </c>
      <c r="H3">
        <v>9.1370000000000005</v>
      </c>
    </row>
    <row r="4" spans="1:8" x14ac:dyDescent="0.3">
      <c r="A4">
        <v>10</v>
      </c>
      <c r="B4">
        <v>30</v>
      </c>
      <c r="C4">
        <v>1048.0550000000001</v>
      </c>
      <c r="D4">
        <v>5.0199999999999996</v>
      </c>
      <c r="E4">
        <v>8.9</v>
      </c>
      <c r="F4">
        <v>25.1</v>
      </c>
      <c r="G4">
        <v>34</v>
      </c>
      <c r="H4">
        <v>8.9700000000000006</v>
      </c>
    </row>
    <row r="5" spans="1:8" x14ac:dyDescent="0.3">
      <c r="A5">
        <v>10</v>
      </c>
      <c r="B5">
        <v>40</v>
      </c>
      <c r="C5">
        <v>1035.96</v>
      </c>
      <c r="D5">
        <v>5.46</v>
      </c>
      <c r="E5">
        <v>8.8000000000000007</v>
      </c>
      <c r="F5">
        <v>35.1</v>
      </c>
      <c r="G5">
        <v>43.9</v>
      </c>
      <c r="H5">
        <v>8.8859999999999992</v>
      </c>
    </row>
    <row r="6" spans="1:8" x14ac:dyDescent="0.3">
      <c r="A6">
        <v>10</v>
      </c>
      <c r="B6">
        <v>50</v>
      </c>
      <c r="C6">
        <v>1024.0250000000001</v>
      </c>
      <c r="D6">
        <v>5.8150000000000004</v>
      </c>
      <c r="E6">
        <v>8.6999999999999993</v>
      </c>
      <c r="F6">
        <v>45</v>
      </c>
      <c r="G6">
        <v>53.7</v>
      </c>
      <c r="H6">
        <v>8.8379999999999992</v>
      </c>
    </row>
    <row r="7" spans="1:8" x14ac:dyDescent="0.3">
      <c r="A7">
        <v>10</v>
      </c>
      <c r="B7">
        <v>60</v>
      </c>
      <c r="C7">
        <v>1037.6600000000001</v>
      </c>
      <c r="D7">
        <v>4.5999999999999996</v>
      </c>
      <c r="E7">
        <v>8.8000000000000007</v>
      </c>
      <c r="F7">
        <v>54.8</v>
      </c>
      <c r="G7">
        <v>63.6</v>
      </c>
      <c r="H7">
        <v>8.8000000000000007</v>
      </c>
    </row>
    <row r="8" spans="1:8" x14ac:dyDescent="0.3">
      <c r="A8">
        <v>10</v>
      </c>
      <c r="B8">
        <v>70</v>
      </c>
      <c r="C8">
        <v>1034.635</v>
      </c>
      <c r="D8">
        <v>4.2649999999999997</v>
      </c>
      <c r="E8">
        <v>8.8000000000000007</v>
      </c>
      <c r="F8">
        <v>64.599999999999994</v>
      </c>
      <c r="G8">
        <v>73.400000000000006</v>
      </c>
      <c r="H8">
        <v>8.7810000000000006</v>
      </c>
    </row>
    <row r="9" spans="1:8" x14ac:dyDescent="0.3">
      <c r="A9">
        <v>10</v>
      </c>
      <c r="B9">
        <v>80</v>
      </c>
      <c r="C9">
        <v>1049.135</v>
      </c>
      <c r="D9">
        <v>5.3</v>
      </c>
      <c r="E9">
        <v>8.9</v>
      </c>
      <c r="F9">
        <v>74.3</v>
      </c>
      <c r="G9">
        <v>83.2</v>
      </c>
      <c r="H9">
        <v>8.766</v>
      </c>
    </row>
    <row r="10" spans="1:8" x14ac:dyDescent="0.3">
      <c r="A10">
        <v>10</v>
      </c>
      <c r="B10">
        <v>90</v>
      </c>
      <c r="C10">
        <v>1025.72</v>
      </c>
      <c r="D10">
        <v>4.6849999999999996</v>
      </c>
      <c r="E10">
        <v>8.6999999999999993</v>
      </c>
      <c r="F10">
        <v>84.2</v>
      </c>
      <c r="G10">
        <v>92.9</v>
      </c>
      <c r="H10">
        <v>8.76</v>
      </c>
    </row>
    <row r="11" spans="1:8" x14ac:dyDescent="0.3">
      <c r="A11">
        <v>10</v>
      </c>
      <c r="B11">
        <v>100</v>
      </c>
      <c r="C11">
        <v>1038.96</v>
      </c>
      <c r="D11">
        <v>6.5449999999999999</v>
      </c>
      <c r="E11">
        <v>8.8000000000000007</v>
      </c>
      <c r="F11">
        <v>93.9</v>
      </c>
      <c r="G11">
        <v>102.7</v>
      </c>
      <c r="H11">
        <v>8.7490000000000006</v>
      </c>
    </row>
    <row r="12" spans="1:8" x14ac:dyDescent="0.3">
      <c r="A12">
        <v>20</v>
      </c>
      <c r="B12">
        <v>10</v>
      </c>
      <c r="C12">
        <v>717.34</v>
      </c>
      <c r="D12">
        <v>5.8550000000000004</v>
      </c>
      <c r="E12">
        <v>5.3</v>
      </c>
      <c r="F12">
        <v>103.9</v>
      </c>
      <c r="G12">
        <v>109.2</v>
      </c>
      <c r="H12">
        <v>5.766</v>
      </c>
    </row>
    <row r="13" spans="1:8" x14ac:dyDescent="0.3">
      <c r="A13">
        <v>20</v>
      </c>
      <c r="B13">
        <v>20</v>
      </c>
      <c r="C13">
        <v>678.38</v>
      </c>
      <c r="D13">
        <v>4.9950000000000001</v>
      </c>
      <c r="E13">
        <v>4.9000000000000004</v>
      </c>
      <c r="F13">
        <v>110.6</v>
      </c>
      <c r="G13">
        <v>115.5</v>
      </c>
      <c r="H13">
        <v>5.0590000000000002</v>
      </c>
    </row>
    <row r="14" spans="1:8" x14ac:dyDescent="0.3">
      <c r="A14">
        <v>20</v>
      </c>
      <c r="B14">
        <v>30</v>
      </c>
      <c r="C14">
        <v>657.09500000000003</v>
      </c>
      <c r="D14">
        <v>5.12</v>
      </c>
      <c r="E14">
        <v>4.7</v>
      </c>
      <c r="F14">
        <v>116.6</v>
      </c>
      <c r="G14">
        <v>121.3</v>
      </c>
      <c r="H14">
        <v>4.8220000000000001</v>
      </c>
    </row>
    <row r="15" spans="1:8" x14ac:dyDescent="0.3">
      <c r="A15">
        <v>20</v>
      </c>
      <c r="B15">
        <v>40</v>
      </c>
      <c r="C15">
        <v>663.05</v>
      </c>
      <c r="D15">
        <v>4.82</v>
      </c>
      <c r="E15">
        <v>4.7</v>
      </c>
      <c r="F15">
        <v>122.4</v>
      </c>
      <c r="G15">
        <v>127.1</v>
      </c>
      <c r="H15">
        <v>4.7060000000000004</v>
      </c>
    </row>
    <row r="16" spans="1:8" x14ac:dyDescent="0.3">
      <c r="A16">
        <v>20</v>
      </c>
      <c r="B16">
        <v>50</v>
      </c>
      <c r="C16">
        <v>651.73</v>
      </c>
      <c r="D16">
        <v>5.4349999999999996</v>
      </c>
      <c r="E16">
        <v>4.5999999999999996</v>
      </c>
      <c r="F16">
        <v>128.1</v>
      </c>
      <c r="G16">
        <v>132.69999999999999</v>
      </c>
      <c r="H16">
        <v>4.6340000000000003</v>
      </c>
    </row>
    <row r="17" spans="1:8" x14ac:dyDescent="0.3">
      <c r="A17">
        <v>20</v>
      </c>
      <c r="B17">
        <v>60</v>
      </c>
      <c r="C17">
        <v>640.97500000000002</v>
      </c>
      <c r="D17">
        <v>4.8949999999999996</v>
      </c>
      <c r="E17">
        <v>4.5</v>
      </c>
      <c r="F17">
        <v>133.80000000000001</v>
      </c>
      <c r="G17">
        <v>138.30000000000001</v>
      </c>
      <c r="H17">
        <v>4.5940000000000003</v>
      </c>
    </row>
    <row r="18" spans="1:8" x14ac:dyDescent="0.3">
      <c r="A18">
        <v>20</v>
      </c>
      <c r="B18">
        <v>70</v>
      </c>
      <c r="C18">
        <v>651.07000000000005</v>
      </c>
      <c r="D18">
        <v>4.9800000000000004</v>
      </c>
      <c r="E18">
        <v>4.5999999999999996</v>
      </c>
      <c r="F18">
        <v>139.30000000000001</v>
      </c>
      <c r="G18">
        <v>143.9</v>
      </c>
      <c r="H18">
        <v>4.5620000000000003</v>
      </c>
    </row>
    <row r="19" spans="1:8" x14ac:dyDescent="0.3">
      <c r="A19">
        <v>20</v>
      </c>
      <c r="B19">
        <v>80</v>
      </c>
      <c r="C19">
        <v>653.60500000000002</v>
      </c>
      <c r="D19">
        <v>4.2949999999999999</v>
      </c>
      <c r="E19">
        <v>4.5999999999999996</v>
      </c>
      <c r="F19">
        <v>144.9</v>
      </c>
      <c r="G19">
        <v>149.5</v>
      </c>
      <c r="H19">
        <v>4.5419999999999998</v>
      </c>
    </row>
    <row r="20" spans="1:8" x14ac:dyDescent="0.3">
      <c r="A20">
        <v>20</v>
      </c>
      <c r="B20">
        <v>90</v>
      </c>
      <c r="C20">
        <v>652.93499999999995</v>
      </c>
      <c r="D20">
        <v>4.99</v>
      </c>
      <c r="E20">
        <v>4.5999999999999996</v>
      </c>
      <c r="F20">
        <v>150.4</v>
      </c>
      <c r="G20">
        <v>155</v>
      </c>
      <c r="H20">
        <v>4.53</v>
      </c>
    </row>
    <row r="21" spans="1:8" x14ac:dyDescent="0.3">
      <c r="A21">
        <v>20</v>
      </c>
      <c r="B21">
        <v>100</v>
      </c>
      <c r="C21">
        <v>640.75</v>
      </c>
      <c r="D21">
        <v>5.83</v>
      </c>
      <c r="E21">
        <v>4.5</v>
      </c>
      <c r="F21">
        <v>156</v>
      </c>
      <c r="G21">
        <v>160.5</v>
      </c>
      <c r="H21">
        <v>4.516</v>
      </c>
    </row>
    <row r="22" spans="1:8" x14ac:dyDescent="0.3">
      <c r="A22">
        <v>30</v>
      </c>
      <c r="B22">
        <v>10</v>
      </c>
      <c r="C22">
        <v>632.78499999999997</v>
      </c>
      <c r="D22">
        <v>5.0999999999999996</v>
      </c>
      <c r="E22">
        <v>4.3</v>
      </c>
      <c r="F22">
        <v>161.69999999999999</v>
      </c>
      <c r="G22">
        <v>166</v>
      </c>
      <c r="H22">
        <v>4.6520000000000001</v>
      </c>
    </row>
    <row r="23" spans="1:8" x14ac:dyDescent="0.3">
      <c r="A23">
        <v>30</v>
      </c>
      <c r="B23">
        <v>20</v>
      </c>
      <c r="C23">
        <v>572.13499999999999</v>
      </c>
      <c r="D23">
        <v>4.8449999999999998</v>
      </c>
      <c r="E23">
        <v>3.6</v>
      </c>
      <c r="F23">
        <v>167.3</v>
      </c>
      <c r="G23">
        <v>170.9</v>
      </c>
      <c r="H23">
        <v>3.7850000000000001</v>
      </c>
    </row>
    <row r="24" spans="1:8" x14ac:dyDescent="0.3">
      <c r="A24">
        <v>30</v>
      </c>
      <c r="B24">
        <v>30</v>
      </c>
      <c r="C24">
        <v>557.57500000000005</v>
      </c>
      <c r="D24">
        <v>5.53</v>
      </c>
      <c r="E24">
        <v>3.4</v>
      </c>
      <c r="F24">
        <v>172</v>
      </c>
      <c r="G24">
        <v>175.4</v>
      </c>
      <c r="H24">
        <v>3.4980000000000002</v>
      </c>
    </row>
    <row r="25" spans="1:8" x14ac:dyDescent="0.3">
      <c r="A25">
        <v>30</v>
      </c>
      <c r="B25">
        <v>40</v>
      </c>
      <c r="C25">
        <v>545.97</v>
      </c>
      <c r="D25">
        <v>4.92</v>
      </c>
      <c r="E25">
        <v>3.3</v>
      </c>
      <c r="F25">
        <v>176.5</v>
      </c>
      <c r="G25">
        <v>179.8</v>
      </c>
      <c r="H25">
        <v>3.3530000000000002</v>
      </c>
    </row>
    <row r="26" spans="1:8" x14ac:dyDescent="0.3">
      <c r="A26">
        <v>30</v>
      </c>
      <c r="B26">
        <v>50</v>
      </c>
      <c r="C26">
        <v>552.65</v>
      </c>
      <c r="D26">
        <v>5.18</v>
      </c>
      <c r="E26">
        <v>3.3</v>
      </c>
      <c r="F26">
        <v>180.8</v>
      </c>
      <c r="G26">
        <v>184.1</v>
      </c>
      <c r="H26">
        <v>3.27</v>
      </c>
    </row>
    <row r="27" spans="1:8" x14ac:dyDescent="0.3">
      <c r="A27">
        <v>30</v>
      </c>
      <c r="B27">
        <v>60</v>
      </c>
      <c r="C27">
        <v>523.76499999999999</v>
      </c>
      <c r="D27">
        <v>5.48</v>
      </c>
      <c r="E27">
        <v>3.1</v>
      </c>
      <c r="F27">
        <v>185.2</v>
      </c>
      <c r="G27">
        <v>188.3</v>
      </c>
      <c r="H27">
        <v>3.22</v>
      </c>
    </row>
    <row r="28" spans="1:8" x14ac:dyDescent="0.3">
      <c r="A28">
        <v>30</v>
      </c>
      <c r="B28">
        <v>70</v>
      </c>
      <c r="C28">
        <v>528.19000000000005</v>
      </c>
      <c r="D28">
        <v>5.1849999999999996</v>
      </c>
      <c r="E28">
        <v>3.1</v>
      </c>
      <c r="F28">
        <v>189.4</v>
      </c>
      <c r="G28">
        <v>192.5</v>
      </c>
      <c r="H28">
        <v>3.1850000000000001</v>
      </c>
    </row>
    <row r="29" spans="1:8" x14ac:dyDescent="0.3">
      <c r="A29">
        <v>30</v>
      </c>
      <c r="B29">
        <v>80</v>
      </c>
      <c r="C29">
        <v>523.69500000000005</v>
      </c>
      <c r="D29">
        <v>4.95</v>
      </c>
      <c r="E29">
        <v>3.1</v>
      </c>
      <c r="F29">
        <v>193.6</v>
      </c>
      <c r="G29">
        <v>196.7</v>
      </c>
      <c r="H29">
        <v>3.16</v>
      </c>
    </row>
    <row r="30" spans="1:8" x14ac:dyDescent="0.3">
      <c r="A30">
        <v>30</v>
      </c>
      <c r="B30">
        <v>90</v>
      </c>
      <c r="C30">
        <v>545.35500000000002</v>
      </c>
      <c r="D30">
        <v>5</v>
      </c>
      <c r="E30">
        <v>3.2</v>
      </c>
      <c r="F30">
        <v>197.7</v>
      </c>
      <c r="G30">
        <v>200.9</v>
      </c>
      <c r="H30">
        <v>3.1419999999999999</v>
      </c>
    </row>
    <row r="31" spans="1:8" x14ac:dyDescent="0.3">
      <c r="A31">
        <v>30</v>
      </c>
      <c r="B31">
        <v>100</v>
      </c>
      <c r="C31">
        <v>519.09</v>
      </c>
      <c r="D31">
        <v>6.09</v>
      </c>
      <c r="E31">
        <v>3.1</v>
      </c>
      <c r="F31">
        <v>201.9</v>
      </c>
      <c r="G31">
        <v>205</v>
      </c>
      <c r="H31">
        <v>3.1339999999999999</v>
      </c>
    </row>
    <row r="32" spans="1:8" x14ac:dyDescent="0.3">
      <c r="A32">
        <v>40</v>
      </c>
      <c r="B32">
        <v>10</v>
      </c>
      <c r="C32">
        <v>604.54999999999995</v>
      </c>
      <c r="D32">
        <v>5.04</v>
      </c>
      <c r="E32">
        <v>3.9</v>
      </c>
      <c r="F32">
        <v>206.2</v>
      </c>
      <c r="G32">
        <v>210.1</v>
      </c>
      <c r="H32">
        <v>4.2069999999999999</v>
      </c>
    </row>
    <row r="33" spans="1:8" x14ac:dyDescent="0.3">
      <c r="A33">
        <v>40</v>
      </c>
      <c r="B33">
        <v>20</v>
      </c>
      <c r="C33">
        <v>537.97500000000002</v>
      </c>
      <c r="D33">
        <v>5.63</v>
      </c>
      <c r="E33">
        <v>3.1</v>
      </c>
      <c r="F33">
        <v>211.3</v>
      </c>
      <c r="G33">
        <v>214.4</v>
      </c>
      <c r="H33">
        <v>3.206</v>
      </c>
    </row>
    <row r="34" spans="1:8" x14ac:dyDescent="0.3">
      <c r="A34">
        <v>40</v>
      </c>
      <c r="B34">
        <v>30</v>
      </c>
      <c r="C34">
        <v>520.29499999999996</v>
      </c>
      <c r="D34">
        <v>5.38</v>
      </c>
      <c r="E34">
        <v>2.8</v>
      </c>
      <c r="F34">
        <v>215.5</v>
      </c>
      <c r="G34">
        <v>218.3</v>
      </c>
      <c r="H34">
        <v>2.879</v>
      </c>
    </row>
    <row r="35" spans="1:8" x14ac:dyDescent="0.3">
      <c r="A35">
        <v>40</v>
      </c>
      <c r="B35">
        <v>40</v>
      </c>
      <c r="C35">
        <v>489.33499999999998</v>
      </c>
      <c r="D35">
        <v>5.335</v>
      </c>
      <c r="E35">
        <v>2.6</v>
      </c>
      <c r="F35">
        <v>219.4</v>
      </c>
      <c r="G35">
        <v>222</v>
      </c>
      <c r="H35">
        <v>2.7090000000000001</v>
      </c>
    </row>
    <row r="36" spans="1:8" x14ac:dyDescent="0.3">
      <c r="A36">
        <v>40</v>
      </c>
      <c r="B36">
        <v>50</v>
      </c>
      <c r="C36">
        <v>484.07499999999999</v>
      </c>
      <c r="D36">
        <v>4.8949999999999996</v>
      </c>
      <c r="E36">
        <v>2.6</v>
      </c>
      <c r="F36">
        <v>223.1</v>
      </c>
      <c r="G36">
        <v>225.7</v>
      </c>
      <c r="H36">
        <v>2.6120000000000001</v>
      </c>
    </row>
    <row r="37" spans="1:8" x14ac:dyDescent="0.3">
      <c r="A37">
        <v>40</v>
      </c>
      <c r="B37">
        <v>60</v>
      </c>
      <c r="C37">
        <v>479.21</v>
      </c>
      <c r="D37">
        <v>5.3449999999999998</v>
      </c>
      <c r="E37">
        <v>2.5</v>
      </c>
      <c r="F37">
        <v>226.7</v>
      </c>
      <c r="G37">
        <v>229.2</v>
      </c>
      <c r="H37">
        <v>2.5529999999999999</v>
      </c>
    </row>
    <row r="38" spans="1:8" x14ac:dyDescent="0.3">
      <c r="A38">
        <v>40</v>
      </c>
      <c r="B38">
        <v>70</v>
      </c>
      <c r="C38">
        <v>476.5</v>
      </c>
      <c r="D38">
        <v>4.72</v>
      </c>
      <c r="E38">
        <v>2.4</v>
      </c>
      <c r="F38">
        <v>230.3</v>
      </c>
      <c r="G38">
        <v>232.7</v>
      </c>
      <c r="H38">
        <v>2.512</v>
      </c>
    </row>
    <row r="39" spans="1:8" x14ac:dyDescent="0.3">
      <c r="A39">
        <v>40</v>
      </c>
      <c r="B39">
        <v>80</v>
      </c>
      <c r="C39">
        <v>503.27</v>
      </c>
      <c r="D39">
        <v>5.35</v>
      </c>
      <c r="E39">
        <v>2.5</v>
      </c>
      <c r="F39">
        <v>233.7</v>
      </c>
      <c r="G39">
        <v>236.2</v>
      </c>
      <c r="H39">
        <v>2.484</v>
      </c>
    </row>
    <row r="40" spans="1:8" x14ac:dyDescent="0.3">
      <c r="A40">
        <v>40</v>
      </c>
      <c r="B40">
        <v>90</v>
      </c>
      <c r="C40">
        <v>494.54</v>
      </c>
      <c r="D40">
        <v>5.2249999999999996</v>
      </c>
      <c r="E40">
        <v>2.4</v>
      </c>
      <c r="F40">
        <v>237.3</v>
      </c>
      <c r="G40">
        <v>239.7</v>
      </c>
      <c r="H40">
        <v>2.4649999999999999</v>
      </c>
    </row>
    <row r="41" spans="1:8" x14ac:dyDescent="0.3">
      <c r="A41">
        <v>40</v>
      </c>
      <c r="B41">
        <v>100</v>
      </c>
      <c r="C41">
        <v>485.065</v>
      </c>
      <c r="D41">
        <v>6.0949999999999998</v>
      </c>
      <c r="E41">
        <v>2.5</v>
      </c>
      <c r="F41">
        <v>240.7</v>
      </c>
      <c r="G41">
        <v>243.2</v>
      </c>
      <c r="H41">
        <v>2.4470000000000001</v>
      </c>
    </row>
    <row r="42" spans="1:8" x14ac:dyDescent="0.3">
      <c r="A42">
        <v>50</v>
      </c>
      <c r="B42">
        <v>10</v>
      </c>
      <c r="C42">
        <v>583.41</v>
      </c>
      <c r="D42">
        <v>5.26</v>
      </c>
      <c r="E42">
        <v>3.6</v>
      </c>
      <c r="F42">
        <v>244.4</v>
      </c>
      <c r="G42">
        <v>248</v>
      </c>
      <c r="H42">
        <v>3.9769999999999999</v>
      </c>
    </row>
    <row r="43" spans="1:8" x14ac:dyDescent="0.3">
      <c r="A43">
        <v>50</v>
      </c>
      <c r="B43">
        <v>20</v>
      </c>
      <c r="C43">
        <v>514.63499999999999</v>
      </c>
      <c r="D43">
        <v>5.58</v>
      </c>
      <c r="E43">
        <v>2.7</v>
      </c>
      <c r="F43">
        <v>249.3</v>
      </c>
      <c r="G43">
        <v>252</v>
      </c>
      <c r="H43">
        <v>2.8919999999999999</v>
      </c>
    </row>
    <row r="44" spans="1:8" x14ac:dyDescent="0.3">
      <c r="A44">
        <v>50</v>
      </c>
      <c r="B44">
        <v>30</v>
      </c>
      <c r="C44">
        <v>499.18</v>
      </c>
      <c r="D44">
        <v>5.0999999999999996</v>
      </c>
      <c r="E44">
        <v>2.4</v>
      </c>
      <c r="F44">
        <v>253.2</v>
      </c>
      <c r="G44">
        <v>255.6</v>
      </c>
      <c r="H44">
        <v>2.524</v>
      </c>
    </row>
    <row r="45" spans="1:8" x14ac:dyDescent="0.3">
      <c r="A45">
        <v>50</v>
      </c>
      <c r="B45">
        <v>40</v>
      </c>
      <c r="C45">
        <v>503.89499999999998</v>
      </c>
      <c r="D45">
        <v>4.9749999999999996</v>
      </c>
      <c r="E45">
        <v>2.4</v>
      </c>
      <c r="F45">
        <v>256.60000000000002</v>
      </c>
      <c r="G45">
        <v>259</v>
      </c>
      <c r="H45">
        <v>2.335</v>
      </c>
    </row>
    <row r="46" spans="1:8" x14ac:dyDescent="0.3">
      <c r="A46">
        <v>50</v>
      </c>
      <c r="B46">
        <v>50</v>
      </c>
      <c r="C46">
        <v>486.42</v>
      </c>
      <c r="D46">
        <v>4.6749999999999998</v>
      </c>
      <c r="E46">
        <v>2.2000000000000002</v>
      </c>
      <c r="F46">
        <v>260</v>
      </c>
      <c r="G46">
        <v>262.2</v>
      </c>
      <c r="H46">
        <v>2.2320000000000002</v>
      </c>
    </row>
    <row r="47" spans="1:8" x14ac:dyDescent="0.3">
      <c r="A47">
        <v>50</v>
      </c>
      <c r="B47">
        <v>60</v>
      </c>
      <c r="C47">
        <v>484.8</v>
      </c>
      <c r="D47">
        <v>4.92</v>
      </c>
      <c r="E47">
        <v>2.2000000000000002</v>
      </c>
      <c r="F47">
        <v>263.2</v>
      </c>
      <c r="G47">
        <v>265.39999999999998</v>
      </c>
      <c r="H47">
        <v>2.1659999999999999</v>
      </c>
    </row>
    <row r="48" spans="1:8" x14ac:dyDescent="0.3">
      <c r="A48">
        <v>50</v>
      </c>
      <c r="B48">
        <v>70</v>
      </c>
      <c r="C48">
        <v>478.82499999999999</v>
      </c>
      <c r="D48">
        <v>4.46</v>
      </c>
      <c r="E48">
        <v>2.1</v>
      </c>
      <c r="F48">
        <v>266.39999999999998</v>
      </c>
      <c r="G48">
        <v>268.5</v>
      </c>
      <c r="H48">
        <v>2.117</v>
      </c>
    </row>
    <row r="49" spans="1:8" x14ac:dyDescent="0.3">
      <c r="A49">
        <v>50</v>
      </c>
      <c r="B49">
        <v>80</v>
      </c>
      <c r="C49">
        <v>468.01499999999999</v>
      </c>
      <c r="D49">
        <v>5.0949999999999998</v>
      </c>
      <c r="E49">
        <v>2</v>
      </c>
      <c r="F49">
        <v>269.5</v>
      </c>
      <c r="G49">
        <v>271.5</v>
      </c>
      <c r="H49">
        <v>2.0870000000000002</v>
      </c>
    </row>
    <row r="50" spans="1:8" x14ac:dyDescent="0.3">
      <c r="A50">
        <v>50</v>
      </c>
      <c r="B50">
        <v>90</v>
      </c>
      <c r="C50">
        <v>481.065</v>
      </c>
      <c r="D50">
        <v>5.0650000000000004</v>
      </c>
      <c r="E50">
        <v>2.1</v>
      </c>
      <c r="F50">
        <v>272.60000000000002</v>
      </c>
      <c r="G50">
        <v>274.7</v>
      </c>
      <c r="H50">
        <v>2.0630000000000002</v>
      </c>
    </row>
    <row r="51" spans="1:8" x14ac:dyDescent="0.3">
      <c r="A51">
        <v>50</v>
      </c>
      <c r="B51">
        <v>100</v>
      </c>
      <c r="C51">
        <v>463.68</v>
      </c>
      <c r="D51">
        <v>6.32</v>
      </c>
      <c r="E51">
        <v>2</v>
      </c>
      <c r="F51">
        <v>275.7</v>
      </c>
      <c r="G51">
        <v>277.7</v>
      </c>
      <c r="H51">
        <v>2.048</v>
      </c>
    </row>
    <row r="52" spans="1:8" x14ac:dyDescent="0.3">
      <c r="A52">
        <v>60</v>
      </c>
      <c r="B52">
        <v>10</v>
      </c>
      <c r="C52">
        <v>580.05999999999995</v>
      </c>
      <c r="D52">
        <v>4.82</v>
      </c>
      <c r="E52">
        <v>3.5</v>
      </c>
      <c r="F52">
        <v>278.89999999999998</v>
      </c>
      <c r="G52">
        <v>282.39999999999998</v>
      </c>
      <c r="H52">
        <v>3.8010000000000002</v>
      </c>
    </row>
    <row r="53" spans="1:8" x14ac:dyDescent="0.3">
      <c r="A53">
        <v>60</v>
      </c>
      <c r="B53">
        <v>20</v>
      </c>
      <c r="C53">
        <v>523.18499999999995</v>
      </c>
      <c r="D53">
        <v>5.6950000000000003</v>
      </c>
      <c r="E53">
        <v>2.6</v>
      </c>
      <c r="F53">
        <v>283.7</v>
      </c>
      <c r="G53">
        <v>286.3</v>
      </c>
      <c r="H53">
        <v>2.72</v>
      </c>
    </row>
    <row r="54" spans="1:8" x14ac:dyDescent="0.3">
      <c r="A54">
        <v>60</v>
      </c>
      <c r="B54">
        <v>30</v>
      </c>
      <c r="C54">
        <v>482.66500000000002</v>
      </c>
      <c r="D54">
        <v>5.03</v>
      </c>
      <c r="E54">
        <v>2.1</v>
      </c>
      <c r="F54">
        <v>287.39999999999998</v>
      </c>
      <c r="G54">
        <v>289.5</v>
      </c>
      <c r="H54">
        <v>2.31</v>
      </c>
    </row>
    <row r="55" spans="1:8" x14ac:dyDescent="0.3">
      <c r="A55">
        <v>60</v>
      </c>
      <c r="B55">
        <v>40</v>
      </c>
      <c r="C55">
        <v>472.92</v>
      </c>
      <c r="D55">
        <v>5.6050000000000004</v>
      </c>
      <c r="E55">
        <v>2.1</v>
      </c>
      <c r="F55">
        <v>290.60000000000002</v>
      </c>
      <c r="G55">
        <v>292.7</v>
      </c>
      <c r="H55">
        <v>2.1070000000000002</v>
      </c>
    </row>
    <row r="56" spans="1:8" x14ac:dyDescent="0.3">
      <c r="A56">
        <v>60</v>
      </c>
      <c r="B56">
        <v>50</v>
      </c>
      <c r="C56">
        <v>470.78</v>
      </c>
      <c r="D56">
        <v>4.67</v>
      </c>
      <c r="E56">
        <v>1.9</v>
      </c>
      <c r="F56">
        <v>293.8</v>
      </c>
      <c r="G56">
        <v>295.7</v>
      </c>
      <c r="H56">
        <v>1.9890000000000001</v>
      </c>
    </row>
    <row r="57" spans="1:8" x14ac:dyDescent="0.3">
      <c r="A57">
        <v>60</v>
      </c>
      <c r="B57">
        <v>60</v>
      </c>
      <c r="C57">
        <v>444.63</v>
      </c>
      <c r="D57">
        <v>5.45</v>
      </c>
      <c r="E57">
        <v>1.9</v>
      </c>
      <c r="F57">
        <v>296.7</v>
      </c>
      <c r="G57">
        <v>298.60000000000002</v>
      </c>
      <c r="H57">
        <v>1.915</v>
      </c>
    </row>
    <row r="58" spans="1:8" x14ac:dyDescent="0.3">
      <c r="A58">
        <v>60</v>
      </c>
      <c r="B58">
        <v>70</v>
      </c>
      <c r="C58">
        <v>459.73500000000001</v>
      </c>
      <c r="D58">
        <v>5.3150000000000004</v>
      </c>
      <c r="E58">
        <v>1.8</v>
      </c>
      <c r="F58">
        <v>299.7</v>
      </c>
      <c r="G58">
        <v>301.5</v>
      </c>
      <c r="H58">
        <v>1.865</v>
      </c>
    </row>
    <row r="59" spans="1:8" x14ac:dyDescent="0.3">
      <c r="A59">
        <v>60</v>
      </c>
      <c r="B59">
        <v>80</v>
      </c>
      <c r="C59">
        <v>465.94499999999999</v>
      </c>
      <c r="D59">
        <v>5.5549999999999997</v>
      </c>
      <c r="E59">
        <v>1.7</v>
      </c>
      <c r="F59">
        <v>302.60000000000002</v>
      </c>
      <c r="G59">
        <v>304.3</v>
      </c>
      <c r="H59">
        <v>1.829</v>
      </c>
    </row>
    <row r="60" spans="1:8" x14ac:dyDescent="0.3">
      <c r="A60">
        <v>60</v>
      </c>
      <c r="B60">
        <v>90</v>
      </c>
      <c r="C60">
        <v>468.6</v>
      </c>
      <c r="D60">
        <v>5.5549999999999997</v>
      </c>
      <c r="E60">
        <v>1.7</v>
      </c>
      <c r="F60">
        <v>305.39999999999998</v>
      </c>
      <c r="G60">
        <v>307.10000000000002</v>
      </c>
      <c r="H60">
        <v>1.8029999999999999</v>
      </c>
    </row>
    <row r="61" spans="1:8" x14ac:dyDescent="0.3">
      <c r="A61">
        <v>60</v>
      </c>
      <c r="B61">
        <v>100</v>
      </c>
      <c r="C61">
        <v>467.91</v>
      </c>
      <c r="D61">
        <v>6.36</v>
      </c>
      <c r="E61">
        <v>1.7</v>
      </c>
      <c r="F61">
        <v>308.2</v>
      </c>
      <c r="G61">
        <v>309.89999999999998</v>
      </c>
      <c r="H61">
        <v>1.7829999999999999</v>
      </c>
    </row>
    <row r="62" spans="1:8" x14ac:dyDescent="0.3">
      <c r="A62">
        <v>70</v>
      </c>
      <c r="B62">
        <v>10</v>
      </c>
      <c r="C62">
        <v>561.62</v>
      </c>
      <c r="D62">
        <v>5.53</v>
      </c>
      <c r="E62">
        <v>3.4</v>
      </c>
      <c r="F62">
        <v>311.10000000000002</v>
      </c>
      <c r="G62">
        <v>314.5</v>
      </c>
      <c r="H62">
        <v>3.6629999999999998</v>
      </c>
    </row>
    <row r="63" spans="1:8" x14ac:dyDescent="0.3">
      <c r="A63">
        <v>70</v>
      </c>
      <c r="B63">
        <v>20</v>
      </c>
      <c r="C63">
        <v>495.73</v>
      </c>
      <c r="D63">
        <v>5.01</v>
      </c>
      <c r="E63">
        <v>2.4</v>
      </c>
      <c r="F63">
        <v>315.8</v>
      </c>
      <c r="G63">
        <v>318.2</v>
      </c>
      <c r="H63">
        <v>2.6110000000000002</v>
      </c>
    </row>
    <row r="64" spans="1:8" x14ac:dyDescent="0.3">
      <c r="A64">
        <v>70</v>
      </c>
      <c r="B64">
        <v>30</v>
      </c>
      <c r="C64">
        <v>475.76499999999999</v>
      </c>
      <c r="D64">
        <v>5.5149999999999997</v>
      </c>
      <c r="E64">
        <v>2.1</v>
      </c>
      <c r="F64">
        <v>319.3</v>
      </c>
      <c r="G64">
        <v>321.39999999999998</v>
      </c>
      <c r="H64">
        <v>2.169</v>
      </c>
    </row>
    <row r="65" spans="1:8" x14ac:dyDescent="0.3">
      <c r="A65">
        <v>70</v>
      </c>
      <c r="B65">
        <v>40</v>
      </c>
      <c r="C65">
        <v>456.41</v>
      </c>
      <c r="D65">
        <v>5.79</v>
      </c>
      <c r="E65">
        <v>1.9</v>
      </c>
      <c r="F65">
        <v>322.5</v>
      </c>
      <c r="G65">
        <v>324.39999999999998</v>
      </c>
      <c r="H65">
        <v>1.956</v>
      </c>
    </row>
    <row r="66" spans="1:8" x14ac:dyDescent="0.3">
      <c r="A66">
        <v>70</v>
      </c>
      <c r="B66">
        <v>50</v>
      </c>
      <c r="C66">
        <v>459.85500000000002</v>
      </c>
      <c r="D66">
        <v>5.37</v>
      </c>
      <c r="E66">
        <v>1.7</v>
      </c>
      <c r="F66">
        <v>325.5</v>
      </c>
      <c r="G66">
        <v>327.2</v>
      </c>
      <c r="H66">
        <v>1.833</v>
      </c>
    </row>
    <row r="67" spans="1:8" x14ac:dyDescent="0.3">
      <c r="A67">
        <v>70</v>
      </c>
      <c r="B67">
        <v>60</v>
      </c>
      <c r="C67">
        <v>463.86500000000001</v>
      </c>
      <c r="D67">
        <v>5.5</v>
      </c>
      <c r="E67">
        <v>1.7</v>
      </c>
      <c r="F67">
        <v>328.3</v>
      </c>
      <c r="G67">
        <v>330</v>
      </c>
      <c r="H67">
        <v>1.7470000000000001</v>
      </c>
    </row>
    <row r="68" spans="1:8" x14ac:dyDescent="0.3">
      <c r="A68">
        <v>70</v>
      </c>
      <c r="B68">
        <v>70</v>
      </c>
      <c r="C68">
        <v>432.79</v>
      </c>
      <c r="D68">
        <v>5.875</v>
      </c>
      <c r="E68">
        <v>1.5</v>
      </c>
      <c r="F68">
        <v>331.1</v>
      </c>
      <c r="G68">
        <v>332.6</v>
      </c>
      <c r="H68">
        <v>1.6890000000000001</v>
      </c>
    </row>
    <row r="69" spans="1:8" x14ac:dyDescent="0.3">
      <c r="A69">
        <v>70</v>
      </c>
      <c r="B69">
        <v>80</v>
      </c>
      <c r="C69">
        <v>394.14</v>
      </c>
      <c r="D69">
        <v>5.4749999999999996</v>
      </c>
      <c r="E69">
        <v>1.6</v>
      </c>
      <c r="F69">
        <v>333.7</v>
      </c>
      <c r="G69">
        <v>335.3</v>
      </c>
      <c r="H69">
        <v>1.651</v>
      </c>
    </row>
    <row r="70" spans="1:8" x14ac:dyDescent="0.3">
      <c r="A70">
        <v>70</v>
      </c>
      <c r="B70">
        <v>90</v>
      </c>
      <c r="C70">
        <v>462.48500000000001</v>
      </c>
      <c r="D70">
        <v>4.915</v>
      </c>
      <c r="E70">
        <v>1.6</v>
      </c>
      <c r="F70">
        <v>336.4</v>
      </c>
      <c r="G70">
        <v>338</v>
      </c>
      <c r="H70">
        <v>1.6220000000000001</v>
      </c>
    </row>
    <row r="71" spans="1:8" x14ac:dyDescent="0.3">
      <c r="A71">
        <v>70</v>
      </c>
      <c r="B71">
        <v>100</v>
      </c>
      <c r="C71">
        <v>393.54500000000002</v>
      </c>
      <c r="D71">
        <v>9.2349999999999994</v>
      </c>
      <c r="E71">
        <v>1.5</v>
      </c>
      <c r="F71">
        <v>339</v>
      </c>
      <c r="G71">
        <v>340.5</v>
      </c>
      <c r="H71">
        <v>1.603</v>
      </c>
    </row>
    <row r="72" spans="1:8" x14ac:dyDescent="0.3">
      <c r="A72">
        <v>80</v>
      </c>
      <c r="B72">
        <v>10</v>
      </c>
      <c r="C72">
        <v>556.57000000000005</v>
      </c>
      <c r="D72">
        <v>5.1150000000000002</v>
      </c>
      <c r="E72">
        <v>3.4</v>
      </c>
      <c r="F72">
        <v>341.8</v>
      </c>
      <c r="G72">
        <v>345.2</v>
      </c>
      <c r="H72">
        <v>3.5409999999999999</v>
      </c>
    </row>
    <row r="73" spans="1:8" x14ac:dyDescent="0.3">
      <c r="A73">
        <v>80</v>
      </c>
      <c r="B73">
        <v>20</v>
      </c>
      <c r="C73">
        <v>489.76</v>
      </c>
      <c r="D73">
        <v>3.3450000000000002</v>
      </c>
      <c r="E73">
        <v>2.4</v>
      </c>
      <c r="F73">
        <v>346.3</v>
      </c>
      <c r="G73">
        <v>348.7</v>
      </c>
      <c r="H73">
        <v>2.5249999999999999</v>
      </c>
    </row>
    <row r="74" spans="1:8" x14ac:dyDescent="0.3">
      <c r="A74">
        <v>80</v>
      </c>
      <c r="B74">
        <v>30</v>
      </c>
      <c r="C74">
        <v>448.23500000000001</v>
      </c>
      <c r="D74">
        <v>4.17</v>
      </c>
      <c r="E74">
        <v>1.9</v>
      </c>
      <c r="F74">
        <v>349.8</v>
      </c>
      <c r="G74">
        <v>351.7</v>
      </c>
      <c r="H74">
        <v>2.08</v>
      </c>
    </row>
    <row r="75" spans="1:8" x14ac:dyDescent="0.3">
      <c r="A75">
        <v>80</v>
      </c>
      <c r="B75">
        <v>40</v>
      </c>
      <c r="C75">
        <v>445.61500000000001</v>
      </c>
      <c r="D75">
        <v>5.57</v>
      </c>
      <c r="E75">
        <v>1.8</v>
      </c>
      <c r="F75">
        <v>352.8</v>
      </c>
      <c r="G75">
        <v>354.6</v>
      </c>
      <c r="H75">
        <v>1.843</v>
      </c>
    </row>
    <row r="76" spans="1:8" x14ac:dyDescent="0.3">
      <c r="A76">
        <v>80</v>
      </c>
      <c r="B76">
        <v>50</v>
      </c>
      <c r="C76">
        <v>419.98500000000001</v>
      </c>
      <c r="D76">
        <v>4.33</v>
      </c>
      <c r="E76">
        <v>1.6</v>
      </c>
      <c r="F76">
        <v>355.7</v>
      </c>
      <c r="G76">
        <v>357.3</v>
      </c>
      <c r="H76">
        <v>1.7110000000000001</v>
      </c>
    </row>
    <row r="77" spans="1:8" x14ac:dyDescent="0.3">
      <c r="A77">
        <v>80</v>
      </c>
      <c r="B77">
        <v>60</v>
      </c>
      <c r="C77">
        <v>439.29</v>
      </c>
      <c r="D77">
        <v>4.5350000000000001</v>
      </c>
      <c r="E77">
        <v>1.5</v>
      </c>
      <c r="F77">
        <v>358.4</v>
      </c>
      <c r="G77">
        <v>359.9</v>
      </c>
      <c r="H77">
        <v>1.621</v>
      </c>
    </row>
    <row r="78" spans="1:8" x14ac:dyDescent="0.3">
      <c r="A78">
        <v>80</v>
      </c>
      <c r="B78">
        <v>70</v>
      </c>
      <c r="C78">
        <v>393.02</v>
      </c>
      <c r="D78">
        <v>5.96</v>
      </c>
      <c r="E78">
        <v>1.4</v>
      </c>
      <c r="F78">
        <v>361</v>
      </c>
      <c r="G78">
        <v>362.4</v>
      </c>
      <c r="H78">
        <v>1.5649999999999999</v>
      </c>
    </row>
    <row r="79" spans="1:8" x14ac:dyDescent="0.3">
      <c r="A79">
        <v>80</v>
      </c>
      <c r="B79">
        <v>80</v>
      </c>
      <c r="C79">
        <v>438.47</v>
      </c>
      <c r="D79">
        <v>5.835</v>
      </c>
      <c r="E79">
        <v>1.4</v>
      </c>
      <c r="F79">
        <v>363.6</v>
      </c>
      <c r="G79">
        <v>365</v>
      </c>
      <c r="H79">
        <v>1.522</v>
      </c>
    </row>
    <row r="80" spans="1:8" x14ac:dyDescent="0.3">
      <c r="A80">
        <v>80</v>
      </c>
      <c r="B80">
        <v>90</v>
      </c>
      <c r="C80">
        <v>418</v>
      </c>
      <c r="D80">
        <v>6.63</v>
      </c>
      <c r="E80">
        <v>1.4</v>
      </c>
      <c r="F80">
        <v>366.1</v>
      </c>
      <c r="G80">
        <v>367.5</v>
      </c>
      <c r="H80">
        <v>1.4890000000000001</v>
      </c>
    </row>
    <row r="81" spans="1:8" x14ac:dyDescent="0.3">
      <c r="A81">
        <v>80</v>
      </c>
      <c r="B81">
        <v>100</v>
      </c>
      <c r="C81">
        <v>411.11</v>
      </c>
      <c r="D81">
        <v>8.69</v>
      </c>
      <c r="E81">
        <v>1.4</v>
      </c>
      <c r="F81">
        <v>368.6</v>
      </c>
      <c r="G81">
        <v>370</v>
      </c>
      <c r="H81">
        <v>1.468</v>
      </c>
    </row>
    <row r="82" spans="1:8" x14ac:dyDescent="0.3">
      <c r="A82">
        <v>90</v>
      </c>
      <c r="B82">
        <v>10</v>
      </c>
      <c r="C82">
        <v>536.51499999999999</v>
      </c>
      <c r="D82">
        <v>4.8150000000000004</v>
      </c>
      <c r="E82">
        <v>3.2</v>
      </c>
      <c r="F82">
        <v>371.2</v>
      </c>
      <c r="G82">
        <v>374.4</v>
      </c>
      <c r="H82">
        <v>3.4460000000000002</v>
      </c>
    </row>
    <row r="83" spans="1:8" x14ac:dyDescent="0.3">
      <c r="A83">
        <v>90</v>
      </c>
      <c r="B83">
        <v>20</v>
      </c>
      <c r="C83">
        <v>481.28500000000003</v>
      </c>
      <c r="D83">
        <v>4.88</v>
      </c>
      <c r="E83">
        <v>2.4</v>
      </c>
      <c r="F83">
        <v>375.6</v>
      </c>
      <c r="G83">
        <v>378</v>
      </c>
      <c r="H83">
        <v>2.4540000000000002</v>
      </c>
    </row>
    <row r="84" spans="1:8" x14ac:dyDescent="0.3">
      <c r="A84">
        <v>90</v>
      </c>
      <c r="B84">
        <v>30</v>
      </c>
      <c r="C84">
        <v>429.31</v>
      </c>
      <c r="D84">
        <v>5.335</v>
      </c>
      <c r="E84">
        <v>1.8</v>
      </c>
      <c r="F84">
        <v>379.1</v>
      </c>
      <c r="G84">
        <v>380.9</v>
      </c>
      <c r="H84">
        <v>2.012</v>
      </c>
    </row>
    <row r="85" spans="1:8" x14ac:dyDescent="0.3">
      <c r="A85">
        <v>90</v>
      </c>
      <c r="B85">
        <v>40</v>
      </c>
      <c r="C85">
        <v>418.45499999999998</v>
      </c>
      <c r="D85">
        <v>5.3</v>
      </c>
      <c r="E85">
        <v>1.6</v>
      </c>
      <c r="F85">
        <v>382.1</v>
      </c>
      <c r="G85">
        <v>383.7</v>
      </c>
      <c r="H85">
        <v>1.7669999999999999</v>
      </c>
    </row>
    <row r="86" spans="1:8" x14ac:dyDescent="0.3">
      <c r="A86">
        <v>90</v>
      </c>
      <c r="B86">
        <v>50</v>
      </c>
      <c r="C86">
        <v>438.78500000000003</v>
      </c>
      <c r="D86">
        <v>5.56</v>
      </c>
      <c r="E86">
        <v>1.6</v>
      </c>
      <c r="F86">
        <v>384.8</v>
      </c>
      <c r="G86">
        <v>386.4</v>
      </c>
      <c r="H86">
        <v>1.625</v>
      </c>
    </row>
    <row r="87" spans="1:8" x14ac:dyDescent="0.3">
      <c r="A87">
        <v>90</v>
      </c>
      <c r="B87">
        <v>60</v>
      </c>
      <c r="C87">
        <v>401.245</v>
      </c>
      <c r="D87">
        <v>5.36</v>
      </c>
      <c r="E87">
        <v>1.4</v>
      </c>
      <c r="F87">
        <v>387.5</v>
      </c>
      <c r="G87">
        <v>388.9</v>
      </c>
      <c r="H87">
        <v>1.5309999999999999</v>
      </c>
    </row>
    <row r="88" spans="1:8" x14ac:dyDescent="0.3">
      <c r="A88">
        <v>90</v>
      </c>
      <c r="B88">
        <v>70</v>
      </c>
      <c r="C88">
        <v>423.495</v>
      </c>
      <c r="D88">
        <v>7.9</v>
      </c>
      <c r="E88">
        <v>1.3</v>
      </c>
      <c r="F88">
        <v>390</v>
      </c>
      <c r="G88">
        <v>391.3</v>
      </c>
      <c r="H88">
        <v>1.47</v>
      </c>
    </row>
    <row r="89" spans="1:8" x14ac:dyDescent="0.3">
      <c r="A89">
        <v>90</v>
      </c>
      <c r="B89">
        <v>80</v>
      </c>
      <c r="C89">
        <v>431.02</v>
      </c>
      <c r="D89">
        <v>8.6950000000000003</v>
      </c>
      <c r="E89">
        <v>1.3</v>
      </c>
      <c r="F89">
        <v>392.5</v>
      </c>
      <c r="G89">
        <v>393.8</v>
      </c>
      <c r="H89">
        <v>1.429</v>
      </c>
    </row>
    <row r="90" spans="1:8" x14ac:dyDescent="0.3">
      <c r="A90">
        <v>90</v>
      </c>
      <c r="B90">
        <v>90</v>
      </c>
      <c r="C90">
        <v>434.37</v>
      </c>
      <c r="D90">
        <v>8.8699999999999992</v>
      </c>
      <c r="E90">
        <v>1.3</v>
      </c>
      <c r="F90">
        <v>394.9</v>
      </c>
      <c r="G90">
        <v>396.2</v>
      </c>
      <c r="H90">
        <v>1.3919999999999999</v>
      </c>
    </row>
    <row r="91" spans="1:8" x14ac:dyDescent="0.3">
      <c r="A91">
        <v>90</v>
      </c>
      <c r="B91">
        <v>100</v>
      </c>
      <c r="C91">
        <v>435.82499999999999</v>
      </c>
      <c r="D91">
        <v>10.44</v>
      </c>
      <c r="E91">
        <v>1.3</v>
      </c>
      <c r="F91">
        <v>397.3</v>
      </c>
      <c r="G91">
        <v>398.6</v>
      </c>
      <c r="H91">
        <v>1.363</v>
      </c>
    </row>
    <row r="92" spans="1:8" x14ac:dyDescent="0.3">
      <c r="A92">
        <v>100</v>
      </c>
      <c r="B92">
        <v>10</v>
      </c>
      <c r="C92">
        <v>517.98</v>
      </c>
      <c r="D92">
        <v>4.74</v>
      </c>
      <c r="E92">
        <v>3.1</v>
      </c>
      <c r="F92">
        <v>399.8</v>
      </c>
      <c r="G92">
        <v>402.9</v>
      </c>
      <c r="H92">
        <v>3.41</v>
      </c>
    </row>
    <row r="93" spans="1:8" x14ac:dyDescent="0.3">
      <c r="A93">
        <v>100</v>
      </c>
      <c r="B93">
        <v>20</v>
      </c>
      <c r="C93">
        <v>467.7</v>
      </c>
      <c r="D93">
        <v>5.23</v>
      </c>
      <c r="E93">
        <v>2.2999999999999998</v>
      </c>
      <c r="F93">
        <v>404.2</v>
      </c>
      <c r="G93">
        <v>406.5</v>
      </c>
      <c r="H93">
        <v>2.39</v>
      </c>
    </row>
    <row r="94" spans="1:8" x14ac:dyDescent="0.3">
      <c r="A94">
        <v>100</v>
      </c>
      <c r="B94">
        <v>30</v>
      </c>
      <c r="C94">
        <v>423.67</v>
      </c>
      <c r="D94">
        <v>5.3550000000000004</v>
      </c>
      <c r="E94">
        <v>1.8</v>
      </c>
      <c r="F94">
        <v>407.6</v>
      </c>
      <c r="G94">
        <v>409.4</v>
      </c>
      <c r="H94">
        <v>1.9650000000000001</v>
      </c>
    </row>
    <row r="95" spans="1:8" x14ac:dyDescent="0.3">
      <c r="A95">
        <v>100</v>
      </c>
      <c r="B95">
        <v>40</v>
      </c>
      <c r="C95">
        <v>417.22</v>
      </c>
      <c r="D95">
        <v>4.96</v>
      </c>
      <c r="E95">
        <v>1.6</v>
      </c>
      <c r="F95">
        <v>410.5</v>
      </c>
      <c r="G95">
        <v>412.1</v>
      </c>
      <c r="H95">
        <v>1.7110000000000001</v>
      </c>
    </row>
    <row r="96" spans="1:8" x14ac:dyDescent="0.3">
      <c r="A96">
        <v>100</v>
      </c>
      <c r="B96">
        <v>50</v>
      </c>
      <c r="C96">
        <v>435.49</v>
      </c>
      <c r="D96">
        <v>6.04</v>
      </c>
      <c r="E96">
        <v>1.4</v>
      </c>
      <c r="F96">
        <v>413.2</v>
      </c>
      <c r="G96">
        <v>414.6</v>
      </c>
      <c r="H96">
        <v>1.5640000000000001</v>
      </c>
    </row>
    <row r="97" spans="1:8" x14ac:dyDescent="0.3">
      <c r="A97">
        <v>100</v>
      </c>
      <c r="B97">
        <v>60</v>
      </c>
      <c r="C97">
        <v>406.58499999999998</v>
      </c>
      <c r="D97">
        <v>7.16</v>
      </c>
      <c r="E97">
        <v>1.3</v>
      </c>
      <c r="F97">
        <v>415.8</v>
      </c>
      <c r="G97">
        <v>417.1</v>
      </c>
      <c r="H97">
        <v>1.4650000000000001</v>
      </c>
    </row>
    <row r="98" spans="1:8" x14ac:dyDescent="0.3">
      <c r="A98">
        <v>100</v>
      </c>
      <c r="B98">
        <v>70</v>
      </c>
      <c r="C98">
        <v>413.51499999999999</v>
      </c>
      <c r="D98">
        <v>7.53</v>
      </c>
      <c r="E98">
        <v>1.2</v>
      </c>
      <c r="F98">
        <v>418.3</v>
      </c>
      <c r="G98">
        <v>419.5</v>
      </c>
      <c r="H98">
        <v>1.3979999999999999</v>
      </c>
    </row>
    <row r="99" spans="1:8" x14ac:dyDescent="0.3">
      <c r="A99">
        <v>100</v>
      </c>
      <c r="B99">
        <v>80</v>
      </c>
      <c r="C99">
        <v>412.18</v>
      </c>
      <c r="D99">
        <v>9.3949999999999996</v>
      </c>
      <c r="E99">
        <v>1.2</v>
      </c>
      <c r="F99">
        <v>420.7</v>
      </c>
      <c r="G99">
        <v>421.9</v>
      </c>
      <c r="H99">
        <v>1.351</v>
      </c>
    </row>
    <row r="100" spans="1:8" x14ac:dyDescent="0.3">
      <c r="A100">
        <v>100</v>
      </c>
      <c r="B100">
        <v>90</v>
      </c>
      <c r="C100">
        <v>402.005</v>
      </c>
      <c r="D100">
        <v>12.53</v>
      </c>
      <c r="E100">
        <v>1.2</v>
      </c>
      <c r="F100">
        <v>423</v>
      </c>
      <c r="G100">
        <v>424.2</v>
      </c>
      <c r="H100">
        <v>1.3140000000000001</v>
      </c>
    </row>
    <row r="101" spans="1:8" x14ac:dyDescent="0.3">
      <c r="A101">
        <v>100</v>
      </c>
      <c r="B101">
        <v>100</v>
      </c>
      <c r="C101">
        <v>409.98500000000001</v>
      </c>
      <c r="D101">
        <v>51.435000000000002</v>
      </c>
      <c r="E101">
        <v>1.3</v>
      </c>
      <c r="F101">
        <v>425.3</v>
      </c>
      <c r="G101">
        <v>426.6</v>
      </c>
      <c r="H101">
        <v>1.2889999999999999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00E78-E056-4C36-8BCE-5BFB789BC0DE}">
  <dimension ref="A1:CG183"/>
  <sheetViews>
    <sheetView tabSelected="1" topLeftCell="Z41" zoomScale="40" zoomScaleNormal="40" workbookViewId="0">
      <selection activeCell="AZ48" sqref="AZ48"/>
    </sheetView>
  </sheetViews>
  <sheetFormatPr defaultRowHeight="14.4" x14ac:dyDescent="0.3"/>
  <cols>
    <col min="1" max="1" width="28.5546875" bestFit="1" customWidth="1"/>
    <col min="2" max="2" width="22.33203125" bestFit="1" customWidth="1"/>
    <col min="3" max="3" width="11.6640625" bestFit="1" customWidth="1"/>
    <col min="4" max="4" width="13" bestFit="1" customWidth="1"/>
    <col min="5" max="5" width="11.6640625" bestFit="1" customWidth="1"/>
    <col min="6" max="10" width="13" bestFit="1" customWidth="1"/>
    <col min="11" max="11" width="11.6640625" bestFit="1" customWidth="1"/>
    <col min="12" max="12" width="9.44140625" bestFit="1" customWidth="1"/>
    <col min="13" max="13" width="14.88671875" bestFit="1" customWidth="1"/>
    <col min="14" max="14" width="20.77734375" bestFit="1" customWidth="1"/>
    <col min="15" max="15" width="11.33203125" bestFit="1" customWidth="1"/>
    <col min="16" max="16" width="20.77734375" bestFit="1" customWidth="1"/>
    <col min="17" max="17" width="11.33203125" bestFit="1" customWidth="1"/>
    <col min="18" max="18" width="20.77734375" bestFit="1" customWidth="1"/>
    <col min="19" max="19" width="11.33203125" bestFit="1" customWidth="1"/>
    <col min="20" max="20" width="20.77734375" bestFit="1" customWidth="1"/>
    <col min="21" max="21" width="11.33203125" bestFit="1" customWidth="1"/>
    <col min="22" max="22" width="20.77734375" bestFit="1" customWidth="1"/>
    <col min="23" max="23" width="11.33203125" bestFit="1" customWidth="1"/>
    <col min="24" max="24" width="25.5546875" bestFit="1" customWidth="1"/>
    <col min="25" max="25" width="16.109375" bestFit="1" customWidth="1"/>
    <col min="26" max="26" width="6.88671875" customWidth="1"/>
    <col min="27" max="27" width="10.5546875" bestFit="1" customWidth="1"/>
    <col min="28" max="28" width="11.44140625" customWidth="1"/>
    <col min="29" max="37" width="9.77734375" bestFit="1" customWidth="1"/>
    <col min="39" max="39" width="10.44140625" customWidth="1"/>
    <col min="40" max="49" width="11.44140625" customWidth="1"/>
    <col min="50" max="50" width="9.44140625" bestFit="1" customWidth="1"/>
    <col min="51" max="51" width="14.88671875" bestFit="1" customWidth="1"/>
    <col min="53" max="62" width="11.44140625" customWidth="1"/>
    <col min="65" max="65" width="20.109375" bestFit="1" customWidth="1"/>
    <col min="66" max="74" width="14.6640625" bestFit="1" customWidth="1"/>
  </cols>
  <sheetData>
    <row r="1" spans="1:63" x14ac:dyDescent="0.3">
      <c r="A1">
        <v>2</v>
      </c>
      <c r="AB1" t="s">
        <v>31</v>
      </c>
      <c r="AN1" t="s">
        <v>39</v>
      </c>
      <c r="AZ1" t="s">
        <v>36</v>
      </c>
    </row>
    <row r="2" spans="1:63" x14ac:dyDescent="0.3">
      <c r="A2" s="1" t="s">
        <v>28</v>
      </c>
      <c r="B2" s="1" t="s">
        <v>20</v>
      </c>
      <c r="O2" t="s">
        <v>28</v>
      </c>
      <c r="P2" t="s">
        <v>20</v>
      </c>
      <c r="AA2" t="s">
        <v>18</v>
      </c>
      <c r="AB2">
        <v>10</v>
      </c>
      <c r="AC2">
        <v>20</v>
      </c>
      <c r="AD2">
        <v>30</v>
      </c>
      <c r="AE2">
        <v>40</v>
      </c>
      <c r="AF2">
        <v>50</v>
      </c>
      <c r="AG2">
        <v>60</v>
      </c>
      <c r="AH2">
        <v>70</v>
      </c>
      <c r="AI2">
        <v>80</v>
      </c>
      <c r="AJ2">
        <v>90</v>
      </c>
      <c r="AK2">
        <v>100</v>
      </c>
      <c r="AM2" t="s">
        <v>18</v>
      </c>
      <c r="AN2">
        <v>10</v>
      </c>
      <c r="AO2">
        <v>20</v>
      </c>
      <c r="AP2">
        <v>30</v>
      </c>
      <c r="AQ2">
        <v>40</v>
      </c>
      <c r="AR2">
        <v>50</v>
      </c>
      <c r="AS2">
        <v>60</v>
      </c>
      <c r="AT2">
        <v>70</v>
      </c>
      <c r="AU2">
        <v>80</v>
      </c>
      <c r="AV2">
        <v>90</v>
      </c>
      <c r="AW2">
        <v>100</v>
      </c>
    </row>
    <row r="3" spans="1:63" x14ac:dyDescent="0.3">
      <c r="A3" s="1" t="s">
        <v>18</v>
      </c>
      <c r="B3">
        <v>10</v>
      </c>
      <c r="C3">
        <v>20</v>
      </c>
      <c r="D3">
        <v>30</v>
      </c>
      <c r="E3">
        <v>40</v>
      </c>
      <c r="F3">
        <v>50</v>
      </c>
      <c r="G3">
        <v>60</v>
      </c>
      <c r="H3">
        <v>70</v>
      </c>
      <c r="I3">
        <v>80</v>
      </c>
      <c r="J3">
        <v>90</v>
      </c>
      <c r="K3">
        <v>100</v>
      </c>
      <c r="L3" t="s">
        <v>22</v>
      </c>
      <c r="M3" t="s">
        <v>19</v>
      </c>
      <c r="O3" t="s">
        <v>18</v>
      </c>
      <c r="P3">
        <v>10</v>
      </c>
      <c r="Q3">
        <v>20</v>
      </c>
      <c r="R3">
        <v>30</v>
      </c>
      <c r="S3">
        <v>40</v>
      </c>
      <c r="T3">
        <v>50</v>
      </c>
      <c r="U3">
        <v>60</v>
      </c>
      <c r="V3">
        <v>70</v>
      </c>
      <c r="W3">
        <v>80</v>
      </c>
      <c r="X3">
        <v>90</v>
      </c>
      <c r="Y3">
        <v>100</v>
      </c>
      <c r="AA3">
        <v>10</v>
      </c>
      <c r="AB3" s="5">
        <f>SUM(P4,P20,P36,P52,P68,P84,P100,P116,P132,P148)/10</f>
        <v>1106.5004999999999</v>
      </c>
      <c r="AC3" s="5">
        <f t="shared" ref="AC3:AK3" si="0">(Q4+Q20+Q36+Q52+Q68+Q84+Q100+Q116+Q132+Q148)/10</f>
        <v>1078.9884999999999</v>
      </c>
      <c r="AD3" s="5">
        <f t="shared" si="0"/>
        <v>1068.1134999999999</v>
      </c>
      <c r="AE3" s="5">
        <f t="shared" si="0"/>
        <v>1062.9994999999999</v>
      </c>
      <c r="AF3" s="5">
        <f t="shared" si="0"/>
        <v>1060.1794999999997</v>
      </c>
      <c r="AG3" s="5">
        <f t="shared" si="0"/>
        <v>1055.9760000000001</v>
      </c>
      <c r="AH3" s="5">
        <f t="shared" si="0"/>
        <v>1057.2555</v>
      </c>
      <c r="AI3" s="5">
        <f t="shared" si="0"/>
        <v>1061.7625000000003</v>
      </c>
      <c r="AJ3" s="5">
        <f t="shared" si="0"/>
        <v>1057.4875</v>
      </c>
      <c r="AK3" s="5">
        <f t="shared" si="0"/>
        <v>1059.2284999999999</v>
      </c>
      <c r="AM3">
        <v>10</v>
      </c>
      <c r="AN3" s="6">
        <v>9.6352222222222199</v>
      </c>
      <c r="AO3" s="6">
        <v>9.1391111111111112</v>
      </c>
      <c r="AP3" s="6">
        <v>8.9705555555555563</v>
      </c>
      <c r="AQ3" s="6">
        <v>8.8861111111111111</v>
      </c>
      <c r="AR3" s="6">
        <v>8.8386666666666649</v>
      </c>
      <c r="AS3" s="6">
        <v>8.8023333333333316</v>
      </c>
      <c r="AT3" s="6">
        <v>8.7806666666666686</v>
      </c>
      <c r="AU3" s="6">
        <v>8.7678888888888888</v>
      </c>
      <c r="AV3" s="6">
        <v>8.7560000000000002</v>
      </c>
      <c r="AW3" s="6">
        <v>8.746777777777778</v>
      </c>
      <c r="AZ3">
        <v>9.0089285700000001</v>
      </c>
      <c r="BA3">
        <v>8.7786313299999996</v>
      </c>
      <c r="BB3">
        <v>8.7124628200000007</v>
      </c>
      <c r="BC3">
        <v>8.6777173199999993</v>
      </c>
      <c r="BD3">
        <v>8.6575735799999993</v>
      </c>
      <c r="BE3">
        <v>8.6451820000000001</v>
      </c>
      <c r="BF3">
        <v>8.6362934300000003</v>
      </c>
      <c r="BG3">
        <v>8.6306669300000003</v>
      </c>
      <c r="BH3">
        <v>8.6266771900000006</v>
      </c>
      <c r="BI3">
        <v>8.6224675699999995</v>
      </c>
    </row>
    <row r="4" spans="1:63" x14ac:dyDescent="0.3">
      <c r="A4" s="2">
        <v>10</v>
      </c>
      <c r="B4">
        <v>1151.72</v>
      </c>
      <c r="C4">
        <v>1118.04</v>
      </c>
      <c r="D4">
        <v>1105.4549999999999</v>
      </c>
      <c r="E4">
        <v>1105.45</v>
      </c>
      <c r="F4">
        <v>1087.94</v>
      </c>
      <c r="G4">
        <v>1080.6500000000001</v>
      </c>
      <c r="H4">
        <v>1092.125</v>
      </c>
      <c r="I4">
        <v>1105.8599999999999</v>
      </c>
      <c r="J4">
        <v>1091.0650000000001</v>
      </c>
      <c r="K4">
        <v>1090.7149999999999</v>
      </c>
      <c r="M4">
        <v>11029.02</v>
      </c>
      <c r="O4">
        <v>10</v>
      </c>
      <c r="P4">
        <v>1151.72</v>
      </c>
      <c r="Q4">
        <v>1118.04</v>
      </c>
      <c r="R4">
        <v>1105.4549999999999</v>
      </c>
      <c r="S4">
        <v>1105.45</v>
      </c>
      <c r="T4">
        <v>1087.94</v>
      </c>
      <c r="U4">
        <v>1080.6500000000001</v>
      </c>
      <c r="V4">
        <v>1092.125</v>
      </c>
      <c r="W4">
        <v>1105.8599999999999</v>
      </c>
      <c r="X4">
        <v>1091.0650000000001</v>
      </c>
      <c r="Y4">
        <v>1090.7149999999999</v>
      </c>
      <c r="AA4">
        <v>20</v>
      </c>
      <c r="AB4" s="5">
        <f t="shared" ref="AB4:AB12" si="1">(P5+P21+P37+P53+P69+P85+P101+P117+P133+P149)/10</f>
        <v>754.38750000000005</v>
      </c>
      <c r="AC4" s="5">
        <f t="shared" ref="AC4:AC12" si="2">(Q5+Q21+Q37+Q53+Q69+Q85+Q101+Q117+Q133+Q149)/10</f>
        <v>705.77700000000004</v>
      </c>
      <c r="AD4" s="5">
        <f t="shared" ref="AD4:AD12" si="3">(R5+R21+R37+R53+R69+R85+R101+R117+R133+R149)/10</f>
        <v>684.4855</v>
      </c>
      <c r="AE4" s="5">
        <f t="shared" ref="AE4:AE12" si="4">(S5+S21+S37+S53+S69+S85+S101+S117+S133+S149)/10</f>
        <v>679.25600000000009</v>
      </c>
      <c r="AF4" s="5">
        <f t="shared" ref="AF4:AF12" si="5">(T5+T21+T37+T53+T69+T85+T101+T117+T133+T149)/10</f>
        <v>677.31799999999998</v>
      </c>
      <c r="AG4" s="5">
        <f t="shared" ref="AG4:AG12" si="6">(U5+U21+U37+U53+U69+U85+U101+U117+U133+U149)/10</f>
        <v>670.3130000000001</v>
      </c>
      <c r="AH4" s="5">
        <f t="shared" ref="AH4:AH12" si="7">(V5+V21+V37+V53+V69+V85+V101+V117+V133+V149)/10</f>
        <v>670.8075</v>
      </c>
      <c r="AI4" s="5">
        <f t="shared" ref="AI4:AI12" si="8">(W5+W21+W37+W53+W69+W85+W101+W117+W133+W149)/10</f>
        <v>668.97950000000003</v>
      </c>
      <c r="AJ4" s="5">
        <f t="shared" ref="AJ4:AJ12" si="9">(X5+X21+X37+X53+X69+X85+X101+X117+X133+X149)/10</f>
        <v>669.3</v>
      </c>
      <c r="AK4" s="5">
        <f t="shared" ref="AK4:AK12" si="10">(Y5+Y21+Y37+Y53+Y69+Y85+Y101+Y117+Y133+Y149)/10</f>
        <v>663.97849999999994</v>
      </c>
      <c r="AM4">
        <v>20</v>
      </c>
      <c r="AN4" s="6">
        <v>5.762666666666667</v>
      </c>
      <c r="AO4" s="6">
        <v>5.0584444444444436</v>
      </c>
      <c r="AP4" s="6">
        <v>4.8231111111111113</v>
      </c>
      <c r="AQ4" s="6">
        <v>4.7060000000000004</v>
      </c>
      <c r="AR4" s="6">
        <v>4.6342222222222214</v>
      </c>
      <c r="AS4" s="6">
        <v>4.5936666666666666</v>
      </c>
      <c r="AT4" s="6">
        <v>4.5624444444444441</v>
      </c>
      <c r="AU4" s="6">
        <v>4.541555555555556</v>
      </c>
      <c r="AV4" s="6">
        <v>4.5295555555555564</v>
      </c>
      <c r="AW4" s="6">
        <v>4.5172222222222214</v>
      </c>
      <c r="AZ4">
        <v>5.1607142899999996</v>
      </c>
      <c r="BA4">
        <v>4.7001198100000003</v>
      </c>
      <c r="BB4">
        <v>4.5677827899999999</v>
      </c>
      <c r="BC4">
        <v>4.4982917899999997</v>
      </c>
      <c r="BD4">
        <v>4.4580043099999997</v>
      </c>
      <c r="BE4">
        <v>4.4332211600000004</v>
      </c>
      <c r="BF4">
        <v>4.4154440199999998</v>
      </c>
      <c r="BG4">
        <v>4.4041910099999999</v>
      </c>
      <c r="BH4">
        <v>4.3962115199999996</v>
      </c>
      <c r="BI4">
        <v>4.3877923000000001</v>
      </c>
    </row>
    <row r="5" spans="1:63" x14ac:dyDescent="0.3">
      <c r="A5" s="2">
        <v>20</v>
      </c>
      <c r="B5">
        <v>798.73</v>
      </c>
      <c r="C5">
        <v>737.39</v>
      </c>
      <c r="D5">
        <v>728.505</v>
      </c>
      <c r="E5">
        <v>706.245</v>
      </c>
      <c r="F5">
        <v>718.61</v>
      </c>
      <c r="G5">
        <v>700.03</v>
      </c>
      <c r="H5">
        <v>690.91</v>
      </c>
      <c r="I5">
        <v>703.26</v>
      </c>
      <c r="J5">
        <v>700.35500000000002</v>
      </c>
      <c r="K5">
        <v>690.22</v>
      </c>
      <c r="M5">
        <v>7174.2550000000001</v>
      </c>
      <c r="O5">
        <v>20</v>
      </c>
      <c r="P5">
        <v>798.73</v>
      </c>
      <c r="Q5">
        <v>737.39</v>
      </c>
      <c r="R5">
        <v>728.505</v>
      </c>
      <c r="S5">
        <v>706.245</v>
      </c>
      <c r="T5">
        <v>718.61</v>
      </c>
      <c r="U5">
        <v>700.03</v>
      </c>
      <c r="V5">
        <v>690.91</v>
      </c>
      <c r="W5">
        <v>703.26</v>
      </c>
      <c r="X5">
        <v>700.35500000000002</v>
      </c>
      <c r="Y5">
        <v>690.22</v>
      </c>
      <c r="AA5">
        <v>30</v>
      </c>
      <c r="AB5" s="5">
        <f t="shared" si="1"/>
        <v>656.50499999999988</v>
      </c>
      <c r="AC5" s="5">
        <f t="shared" si="2"/>
        <v>597.78899999999999</v>
      </c>
      <c r="AD5" s="5">
        <f t="shared" si="3"/>
        <v>575.33449999999993</v>
      </c>
      <c r="AE5" s="5">
        <f t="shared" si="4"/>
        <v>563.7165</v>
      </c>
      <c r="AF5" s="5">
        <f t="shared" si="5"/>
        <v>560.024</v>
      </c>
      <c r="AG5" s="5">
        <f t="shared" si="6"/>
        <v>555.38700000000006</v>
      </c>
      <c r="AH5" s="5">
        <f t="shared" si="7"/>
        <v>552.40800000000002</v>
      </c>
      <c r="AI5" s="5">
        <f t="shared" si="8"/>
        <v>552.42399999999986</v>
      </c>
      <c r="AJ5" s="5">
        <f t="shared" si="9"/>
        <v>549.96199999999988</v>
      </c>
      <c r="AK5" s="5">
        <f t="shared" si="10"/>
        <v>547.54050000000007</v>
      </c>
      <c r="AM5">
        <v>30</v>
      </c>
      <c r="AN5" s="6">
        <v>4.6501111111111113</v>
      </c>
      <c r="AO5" s="6">
        <v>3.7861111111111114</v>
      </c>
      <c r="AP5" s="6">
        <v>3.4982222222222226</v>
      </c>
      <c r="AQ5" s="6">
        <v>3.3547777777777781</v>
      </c>
      <c r="AR5" s="6">
        <v>3.2715555555555556</v>
      </c>
      <c r="AS5" s="6">
        <v>3.221222222222222</v>
      </c>
      <c r="AT5" s="6">
        <v>3.1842222222222225</v>
      </c>
      <c r="AU5" s="6">
        <v>3.1603333333333334</v>
      </c>
      <c r="AV5" s="6">
        <v>3.1423333333333332</v>
      </c>
      <c r="AW5" s="6">
        <v>3.1301111111111108</v>
      </c>
      <c r="AZ5">
        <v>4.1696428599999997</v>
      </c>
      <c r="BA5">
        <v>3.47875114</v>
      </c>
      <c r="BB5">
        <v>3.2802455899999998</v>
      </c>
      <c r="BC5">
        <v>3.1760090999999999</v>
      </c>
      <c r="BD5">
        <v>3.11557788</v>
      </c>
      <c r="BE5">
        <v>3.0784031600000001</v>
      </c>
      <c r="BF5">
        <v>3.0517374500000001</v>
      </c>
      <c r="BG5">
        <v>3.0348579400000002</v>
      </c>
      <c r="BH5">
        <v>3.0228887100000001</v>
      </c>
      <c r="BI5">
        <v>3.01025988</v>
      </c>
    </row>
    <row r="6" spans="1:63" x14ac:dyDescent="0.3">
      <c r="A6" s="2">
        <v>30</v>
      </c>
      <c r="B6">
        <v>684.95</v>
      </c>
      <c r="C6">
        <v>641.57000000000005</v>
      </c>
      <c r="D6">
        <v>619.38499999999999</v>
      </c>
      <c r="E6">
        <v>598.03</v>
      </c>
      <c r="F6">
        <v>608.32500000000005</v>
      </c>
      <c r="G6">
        <v>618.33500000000004</v>
      </c>
      <c r="H6">
        <v>587.26499999999999</v>
      </c>
      <c r="I6">
        <v>606.1</v>
      </c>
      <c r="J6">
        <v>597.76499999999999</v>
      </c>
      <c r="K6">
        <v>577.22</v>
      </c>
      <c r="M6">
        <v>6138.9450000000015</v>
      </c>
      <c r="O6">
        <v>30</v>
      </c>
      <c r="P6">
        <v>684.95</v>
      </c>
      <c r="Q6">
        <v>641.57000000000005</v>
      </c>
      <c r="R6">
        <v>619.38499999999999</v>
      </c>
      <c r="S6">
        <v>598.03</v>
      </c>
      <c r="T6">
        <v>608.32500000000005</v>
      </c>
      <c r="U6">
        <v>618.33500000000004</v>
      </c>
      <c r="V6">
        <v>587.26499999999999</v>
      </c>
      <c r="W6">
        <v>606.1</v>
      </c>
      <c r="X6">
        <v>597.76499999999999</v>
      </c>
      <c r="Y6">
        <v>577.22</v>
      </c>
      <c r="AA6">
        <v>40</v>
      </c>
      <c r="AB6" s="5">
        <f t="shared" si="1"/>
        <v>624.52650000000006</v>
      </c>
      <c r="AC6" s="5">
        <f t="shared" si="2"/>
        <v>554.40400000000011</v>
      </c>
      <c r="AD6" s="5">
        <f t="shared" si="3"/>
        <v>529.74450000000002</v>
      </c>
      <c r="AE6" s="5">
        <f t="shared" si="4"/>
        <v>517.10549999999989</v>
      </c>
      <c r="AF6" s="5">
        <f t="shared" si="5"/>
        <v>504.95250000000004</v>
      </c>
      <c r="AG6" s="5">
        <f t="shared" si="6"/>
        <v>499.81549999999999</v>
      </c>
      <c r="AH6" s="5">
        <f t="shared" si="7"/>
        <v>499.14799999999997</v>
      </c>
      <c r="AI6" s="5">
        <f t="shared" si="8"/>
        <v>514.28350000000012</v>
      </c>
      <c r="AJ6" s="5">
        <f t="shared" si="9"/>
        <v>501.64600000000002</v>
      </c>
      <c r="AK6" s="5">
        <f t="shared" si="10"/>
        <v>498.21249999999998</v>
      </c>
      <c r="AM6">
        <v>40</v>
      </c>
      <c r="AN6" s="6">
        <v>4.2063333333333333</v>
      </c>
      <c r="AO6" s="6">
        <v>3.2071111111111108</v>
      </c>
      <c r="AP6" s="6">
        <v>2.8765555555555555</v>
      </c>
      <c r="AQ6" s="6">
        <v>2.7067777777777779</v>
      </c>
      <c r="AR6" s="6">
        <v>2.6118888888888887</v>
      </c>
      <c r="AS6" s="6">
        <v>2.5513333333333335</v>
      </c>
      <c r="AT6" s="6">
        <v>2.5096666666666665</v>
      </c>
      <c r="AU6" s="6">
        <v>2.484</v>
      </c>
      <c r="AV6" s="6">
        <v>2.4642222222222223</v>
      </c>
      <c r="AW6" s="6">
        <v>2.446333333333333</v>
      </c>
      <c r="AZ6">
        <v>3.8928571399999998</v>
      </c>
      <c r="BA6">
        <v>2.9716681899999999</v>
      </c>
      <c r="BB6">
        <v>2.7069941499999999</v>
      </c>
      <c r="BC6">
        <v>2.5680121499999999</v>
      </c>
      <c r="BD6">
        <v>2.4874371800000001</v>
      </c>
      <c r="BE6">
        <v>2.4378708699999998</v>
      </c>
      <c r="BF6">
        <v>2.4023165999999998</v>
      </c>
      <c r="BG6">
        <v>2.3798105899999999</v>
      </c>
      <c r="BH6">
        <v>2.3638516100000002</v>
      </c>
      <c r="BI6">
        <v>2.3470131799999998</v>
      </c>
    </row>
    <row r="7" spans="1:63" x14ac:dyDescent="0.3">
      <c r="A7" s="2">
        <v>40</v>
      </c>
      <c r="B7">
        <v>671.91499999999996</v>
      </c>
      <c r="C7">
        <v>594.54999999999995</v>
      </c>
      <c r="D7">
        <v>573.55499999999995</v>
      </c>
      <c r="E7">
        <v>546.49</v>
      </c>
      <c r="F7">
        <v>546.255</v>
      </c>
      <c r="G7">
        <v>531.19000000000005</v>
      </c>
      <c r="H7">
        <v>520.36500000000001</v>
      </c>
      <c r="I7">
        <v>552.99</v>
      </c>
      <c r="J7">
        <v>521.91999999999996</v>
      </c>
      <c r="K7">
        <v>512.39</v>
      </c>
      <c r="M7">
        <v>5571.6200000000008</v>
      </c>
      <c r="O7">
        <v>40</v>
      </c>
      <c r="P7">
        <v>671.91499999999996</v>
      </c>
      <c r="Q7">
        <v>594.54999999999995</v>
      </c>
      <c r="R7">
        <v>573.55499999999995</v>
      </c>
      <c r="S7">
        <v>546.49</v>
      </c>
      <c r="T7">
        <v>546.255</v>
      </c>
      <c r="U7">
        <v>531.19000000000005</v>
      </c>
      <c r="V7">
        <v>520.36500000000001</v>
      </c>
      <c r="W7">
        <v>552.99</v>
      </c>
      <c r="X7">
        <v>521.91999999999996</v>
      </c>
      <c r="Y7">
        <v>512.39</v>
      </c>
      <c r="AA7">
        <v>50</v>
      </c>
      <c r="AB7" s="5">
        <f t="shared" si="1"/>
        <v>606.13049999999998</v>
      </c>
      <c r="AC7" s="5">
        <f t="shared" si="2"/>
        <v>536.56100000000004</v>
      </c>
      <c r="AD7" s="5">
        <f t="shared" si="3"/>
        <v>514.471</v>
      </c>
      <c r="AE7" s="5">
        <f t="shared" si="4"/>
        <v>507.94849999999985</v>
      </c>
      <c r="AF7" s="5">
        <f t="shared" si="5"/>
        <v>497.95850000000002</v>
      </c>
      <c r="AG7" s="5">
        <f t="shared" si="6"/>
        <v>490.80150000000003</v>
      </c>
      <c r="AH7" s="5">
        <f t="shared" si="7"/>
        <v>486.96699999999998</v>
      </c>
      <c r="AI7" s="5">
        <f t="shared" si="8"/>
        <v>483.19549999999998</v>
      </c>
      <c r="AJ7" s="5">
        <f t="shared" si="9"/>
        <v>483.62549999999993</v>
      </c>
      <c r="AK7" s="5">
        <f t="shared" si="10"/>
        <v>479.26450000000006</v>
      </c>
      <c r="AM7">
        <v>50</v>
      </c>
      <c r="AN7" s="6">
        <v>3.9774444444444441</v>
      </c>
      <c r="AO7" s="6">
        <v>2.8945555555555553</v>
      </c>
      <c r="AP7" s="6">
        <v>2.5235555555555553</v>
      </c>
      <c r="AQ7" s="6">
        <v>2.3384444444444448</v>
      </c>
      <c r="AR7" s="6">
        <v>2.2322222222222221</v>
      </c>
      <c r="AS7" s="6">
        <v>2.1656666666666666</v>
      </c>
      <c r="AT7" s="6">
        <v>2.117777777777778</v>
      </c>
      <c r="AU7" s="6">
        <v>2.0874444444444444</v>
      </c>
      <c r="AV7" s="6">
        <v>2.064111111111111</v>
      </c>
      <c r="AW7" s="6">
        <v>2.0447777777777785</v>
      </c>
      <c r="AZ7">
        <v>3.87298331</v>
      </c>
      <c r="BA7">
        <v>2.7502995299999999</v>
      </c>
      <c r="BB7">
        <v>2.4194569600000002</v>
      </c>
      <c r="BC7">
        <v>2.2457294600000002</v>
      </c>
      <c r="BD7">
        <v>2.1450107599999999</v>
      </c>
      <c r="BE7">
        <v>2.0830528899999998</v>
      </c>
      <c r="BF7">
        <v>2.03861004</v>
      </c>
      <c r="BG7">
        <v>2.0104775300000002</v>
      </c>
      <c r="BH7">
        <v>1.99052881</v>
      </c>
      <c r="BI7">
        <v>1.9694807599999999</v>
      </c>
    </row>
    <row r="8" spans="1:63" x14ac:dyDescent="0.3">
      <c r="A8" s="2">
        <v>50</v>
      </c>
      <c r="B8">
        <v>630.56500000000005</v>
      </c>
      <c r="C8">
        <v>559.21500000000003</v>
      </c>
      <c r="D8">
        <v>532.11500000000001</v>
      </c>
      <c r="E8">
        <v>533.46500000000003</v>
      </c>
      <c r="F8">
        <v>530.81500000000005</v>
      </c>
      <c r="G8">
        <v>506.4</v>
      </c>
      <c r="H8">
        <v>510.39499999999998</v>
      </c>
      <c r="I8">
        <v>505.3</v>
      </c>
      <c r="J8">
        <v>495.05500000000001</v>
      </c>
      <c r="K8">
        <v>498.745</v>
      </c>
      <c r="M8">
        <v>5302.0700000000006</v>
      </c>
      <c r="O8">
        <v>50</v>
      </c>
      <c r="P8">
        <v>630.56500000000005</v>
      </c>
      <c r="Q8">
        <v>559.21500000000003</v>
      </c>
      <c r="R8">
        <v>532.11500000000001</v>
      </c>
      <c r="S8">
        <v>533.46500000000003</v>
      </c>
      <c r="T8">
        <v>530.81500000000005</v>
      </c>
      <c r="U8">
        <v>506.4</v>
      </c>
      <c r="V8">
        <v>510.39499999999998</v>
      </c>
      <c r="W8">
        <v>505.3</v>
      </c>
      <c r="X8">
        <v>495.05500000000001</v>
      </c>
      <c r="Y8">
        <v>498.745</v>
      </c>
      <c r="AA8">
        <v>60</v>
      </c>
      <c r="AB8" s="5">
        <f t="shared" si="1"/>
        <v>596.83449999999993</v>
      </c>
      <c r="AC8" s="5">
        <f t="shared" si="2"/>
        <v>533.76700000000005</v>
      </c>
      <c r="AD8" s="5">
        <f t="shared" si="3"/>
        <v>507.99250000000001</v>
      </c>
      <c r="AE8" s="5">
        <f t="shared" si="4"/>
        <v>494.01800000000003</v>
      </c>
      <c r="AF8" s="5">
        <f t="shared" si="5"/>
        <v>480.06099999999998</v>
      </c>
      <c r="AG8" s="5">
        <f t="shared" si="6"/>
        <v>473.89949999999999</v>
      </c>
      <c r="AH8" s="5">
        <f t="shared" si="7"/>
        <v>463.63049999999993</v>
      </c>
      <c r="AI8" s="5">
        <f t="shared" si="8"/>
        <v>461.24549999999988</v>
      </c>
      <c r="AJ8" s="5">
        <f t="shared" si="9"/>
        <v>459.51750000000004</v>
      </c>
      <c r="AK8" s="5">
        <f t="shared" si="10"/>
        <v>458.99099999999999</v>
      </c>
      <c r="AM8">
        <v>60</v>
      </c>
      <c r="AN8" s="6">
        <v>3.8016666666666672</v>
      </c>
      <c r="AO8" s="6">
        <v>2.7177777777777776</v>
      </c>
      <c r="AP8" s="6">
        <v>2.3104444444444443</v>
      </c>
      <c r="AQ8" s="6">
        <v>2.1062222222222222</v>
      </c>
      <c r="AR8" s="6">
        <v>1.9901111111111112</v>
      </c>
      <c r="AS8" s="6">
        <v>1.9151111111111108</v>
      </c>
      <c r="AT8" s="6">
        <v>1.8651111111111112</v>
      </c>
      <c r="AU8" s="6">
        <v>1.8295555555555556</v>
      </c>
      <c r="AV8" s="6">
        <v>1.8036666666666672</v>
      </c>
      <c r="AW8" s="6">
        <v>1.7837777777777777</v>
      </c>
      <c r="AZ8">
        <v>3.87298331</v>
      </c>
      <c r="BA8">
        <v>2.6717879999999998</v>
      </c>
      <c r="BB8">
        <v>2.2747769199999999</v>
      </c>
      <c r="BC8">
        <v>2.0663039400000001</v>
      </c>
      <c r="BD8">
        <v>1.9454414900000001</v>
      </c>
      <c r="BE8">
        <v>1.87109203</v>
      </c>
      <c r="BF8">
        <v>1.81776062</v>
      </c>
      <c r="BG8">
        <v>1.78400161</v>
      </c>
      <c r="BH8">
        <v>1.76006314</v>
      </c>
      <c r="BI8">
        <v>1.7348054799999999</v>
      </c>
    </row>
    <row r="9" spans="1:63" x14ac:dyDescent="0.3">
      <c r="A9" s="2">
        <v>60</v>
      </c>
      <c r="B9">
        <v>618.95500000000004</v>
      </c>
      <c r="C9">
        <v>556.48</v>
      </c>
      <c r="D9">
        <v>533.16999999999996</v>
      </c>
      <c r="E9">
        <v>519.89499999999998</v>
      </c>
      <c r="F9">
        <v>497.28</v>
      </c>
      <c r="G9">
        <v>503.495</v>
      </c>
      <c r="H9">
        <v>471.53500000000003</v>
      </c>
      <c r="I9">
        <v>464.34500000000003</v>
      </c>
      <c r="J9">
        <v>459.41</v>
      </c>
      <c r="K9">
        <v>472.91</v>
      </c>
      <c r="M9">
        <v>5097.4749999999995</v>
      </c>
      <c r="O9">
        <v>60</v>
      </c>
      <c r="P9">
        <v>618.95500000000004</v>
      </c>
      <c r="Q9">
        <v>556.48</v>
      </c>
      <c r="R9">
        <v>533.16999999999996</v>
      </c>
      <c r="S9">
        <v>519.89499999999998</v>
      </c>
      <c r="T9">
        <v>497.28</v>
      </c>
      <c r="U9">
        <v>503.495</v>
      </c>
      <c r="V9">
        <v>471.53500000000003</v>
      </c>
      <c r="W9">
        <v>464.34500000000003</v>
      </c>
      <c r="X9">
        <v>459.41</v>
      </c>
      <c r="Y9">
        <v>472.91</v>
      </c>
      <c r="AA9">
        <v>70</v>
      </c>
      <c r="AB9" s="5">
        <f t="shared" si="1"/>
        <v>573.04449999999997</v>
      </c>
      <c r="AC9" s="5">
        <f t="shared" si="2"/>
        <v>515.02850000000001</v>
      </c>
      <c r="AD9" s="5">
        <f t="shared" si="3"/>
        <v>487.88650000000007</v>
      </c>
      <c r="AE9" s="5">
        <f t="shared" si="4"/>
        <v>469.29300000000001</v>
      </c>
      <c r="AF9" s="5">
        <f t="shared" si="5"/>
        <v>457.34</v>
      </c>
      <c r="AG9" s="5">
        <f t="shared" si="6"/>
        <v>453.32499999999999</v>
      </c>
      <c r="AH9" s="5">
        <f t="shared" si="7"/>
        <v>443.37549999999999</v>
      </c>
      <c r="AI9" s="5">
        <f t="shared" si="8"/>
        <v>449.34949999999998</v>
      </c>
      <c r="AJ9" s="5">
        <f t="shared" si="9"/>
        <v>435.01050000000004</v>
      </c>
      <c r="AK9" s="5">
        <f t="shared" si="10"/>
        <v>450.28199999999998</v>
      </c>
      <c r="AM9">
        <v>70</v>
      </c>
      <c r="AN9" s="6">
        <v>3.6620000000000008</v>
      </c>
      <c r="AO9" s="6">
        <v>2.6112222222222226</v>
      </c>
      <c r="AP9" s="6">
        <v>2.1710000000000003</v>
      </c>
      <c r="AQ9" s="6">
        <v>1.9511111111111115</v>
      </c>
      <c r="AR9" s="6">
        <v>1.8271111111111107</v>
      </c>
      <c r="AS9" s="6">
        <v>1.7450000000000001</v>
      </c>
      <c r="AT9" s="6">
        <v>1.6902222222222223</v>
      </c>
      <c r="AU9" s="6">
        <v>1.6514444444444445</v>
      </c>
      <c r="AV9" s="6">
        <v>1.6222222222222225</v>
      </c>
      <c r="AW9" s="6">
        <v>1.6006666666666667</v>
      </c>
      <c r="AZ9">
        <v>3.87298331</v>
      </c>
      <c r="BA9">
        <v>2.6653507699999999</v>
      </c>
      <c r="BB9">
        <v>2.2117295499999998</v>
      </c>
      <c r="BC9">
        <v>1.96851105</v>
      </c>
      <c r="BD9">
        <v>1.8275048599999999</v>
      </c>
      <c r="BE9">
        <v>1.7407638400000001</v>
      </c>
      <c r="BF9">
        <v>1.6785438500000001</v>
      </c>
      <c r="BG9">
        <v>1.63915834</v>
      </c>
      <c r="BH9">
        <v>1.6112301200000001</v>
      </c>
      <c r="BI9">
        <v>1.5817628500000001</v>
      </c>
    </row>
    <row r="10" spans="1:63" x14ac:dyDescent="0.3">
      <c r="A10" s="2">
        <v>70</v>
      </c>
      <c r="B10">
        <v>594.65</v>
      </c>
      <c r="C10">
        <v>551.67999999999995</v>
      </c>
      <c r="D10">
        <v>513.48</v>
      </c>
      <c r="E10">
        <v>496.13</v>
      </c>
      <c r="F10">
        <v>454.38</v>
      </c>
      <c r="G10">
        <v>435.54</v>
      </c>
      <c r="H10">
        <v>446.94499999999999</v>
      </c>
      <c r="I10">
        <v>502.96499999999997</v>
      </c>
      <c r="J10">
        <v>425.54</v>
      </c>
      <c r="K10">
        <v>496.4</v>
      </c>
      <c r="M10">
        <v>4917.71</v>
      </c>
      <c r="O10">
        <v>70</v>
      </c>
      <c r="P10">
        <v>594.65</v>
      </c>
      <c r="Q10">
        <v>551.67999999999995</v>
      </c>
      <c r="R10">
        <v>513.48</v>
      </c>
      <c r="S10">
        <v>496.13</v>
      </c>
      <c r="T10">
        <v>454.38</v>
      </c>
      <c r="U10">
        <v>435.54</v>
      </c>
      <c r="V10">
        <v>446.94499999999999</v>
      </c>
      <c r="W10">
        <v>502.96499999999997</v>
      </c>
      <c r="X10">
        <v>425.54</v>
      </c>
      <c r="Y10">
        <v>496.4</v>
      </c>
      <c r="AA10">
        <v>80</v>
      </c>
      <c r="AB10" s="5">
        <f t="shared" si="1"/>
        <v>553.3839999999999</v>
      </c>
      <c r="AC10" s="5">
        <f t="shared" si="2"/>
        <v>497.84500000000008</v>
      </c>
      <c r="AD10" s="5">
        <f t="shared" si="3"/>
        <v>477.01500000000004</v>
      </c>
      <c r="AE10" s="5">
        <f t="shared" si="4"/>
        <v>456.81149999999997</v>
      </c>
      <c r="AF10" s="5">
        <f t="shared" si="5"/>
        <v>450.86099999999999</v>
      </c>
      <c r="AG10" s="5">
        <f t="shared" si="6"/>
        <v>440.24599999999998</v>
      </c>
      <c r="AH10" s="5">
        <f t="shared" si="7"/>
        <v>426.38150000000007</v>
      </c>
      <c r="AI10" s="5">
        <f t="shared" si="8"/>
        <v>442.20749999999998</v>
      </c>
      <c r="AJ10" s="5">
        <f t="shared" si="9"/>
        <v>438.33249999999998</v>
      </c>
      <c r="AK10" s="5">
        <f t="shared" si="10"/>
        <v>425.67449999999991</v>
      </c>
      <c r="AM10">
        <v>80</v>
      </c>
      <c r="AN10" s="6">
        <v>3.5422222222222222</v>
      </c>
      <c r="AO10" s="6">
        <v>2.5264444444444445</v>
      </c>
      <c r="AP10" s="6">
        <v>2.0782222222222222</v>
      </c>
      <c r="AQ10" s="6">
        <v>1.8416666666666666</v>
      </c>
      <c r="AR10" s="6">
        <v>1.7104444444444444</v>
      </c>
      <c r="AS10" s="6">
        <v>1.6215555555555554</v>
      </c>
      <c r="AT10" s="6">
        <v>1.5646666666666667</v>
      </c>
      <c r="AU10" s="6">
        <v>1.5225555555555554</v>
      </c>
      <c r="AV10" s="6">
        <v>1.4932222222222225</v>
      </c>
      <c r="AW10" s="6">
        <v>1.467888888888889</v>
      </c>
      <c r="AZ10">
        <v>3.87298331</v>
      </c>
      <c r="BA10">
        <v>2.6653507699999999</v>
      </c>
      <c r="BB10">
        <v>2.1989679500000001</v>
      </c>
      <c r="BC10">
        <v>1.92173858</v>
      </c>
      <c r="BD10">
        <v>1.76058866</v>
      </c>
      <c r="BE10">
        <v>1.66145605</v>
      </c>
      <c r="BF10">
        <v>1.5903474799999999</v>
      </c>
      <c r="BG10">
        <v>1.5453354800000001</v>
      </c>
      <c r="BH10">
        <v>1.51341752</v>
      </c>
      <c r="BI10">
        <v>1.47974063</v>
      </c>
    </row>
    <row r="11" spans="1:63" x14ac:dyDescent="0.3">
      <c r="A11" s="2">
        <v>80</v>
      </c>
      <c r="B11">
        <v>572.71</v>
      </c>
      <c r="C11">
        <v>514.49</v>
      </c>
      <c r="D11">
        <v>496.35500000000002</v>
      </c>
      <c r="E11">
        <v>482.65</v>
      </c>
      <c r="F11">
        <v>477.30500000000001</v>
      </c>
      <c r="G11">
        <v>429.96</v>
      </c>
      <c r="H11">
        <v>456.315</v>
      </c>
      <c r="I11">
        <v>476.73500000000001</v>
      </c>
      <c r="J11">
        <v>427.11</v>
      </c>
      <c r="K11">
        <v>418.505</v>
      </c>
      <c r="M11">
        <v>4752.1350000000002</v>
      </c>
      <c r="O11">
        <v>80</v>
      </c>
      <c r="P11">
        <v>572.71</v>
      </c>
      <c r="Q11">
        <v>514.49</v>
      </c>
      <c r="R11">
        <v>496.35500000000002</v>
      </c>
      <c r="S11">
        <v>482.65</v>
      </c>
      <c r="T11">
        <v>477.30500000000001</v>
      </c>
      <c r="U11">
        <v>429.96</v>
      </c>
      <c r="V11">
        <v>456.315</v>
      </c>
      <c r="W11">
        <v>476.73500000000001</v>
      </c>
      <c r="X11">
        <v>427.11</v>
      </c>
      <c r="Y11">
        <v>418.505</v>
      </c>
      <c r="AA11">
        <v>90</v>
      </c>
      <c r="AB11" s="5">
        <f t="shared" si="1"/>
        <v>541.06650000000002</v>
      </c>
      <c r="AC11" s="5">
        <f t="shared" si="2"/>
        <v>487.8655</v>
      </c>
      <c r="AD11" s="5">
        <f t="shared" si="3"/>
        <v>451.928</v>
      </c>
      <c r="AE11" s="5">
        <f t="shared" si="4"/>
        <v>445.79400000000004</v>
      </c>
      <c r="AF11" s="5">
        <f t="shared" si="5"/>
        <v>438.5455</v>
      </c>
      <c r="AG11" s="5">
        <f t="shared" si="6"/>
        <v>423.64399999999995</v>
      </c>
      <c r="AH11" s="5">
        <f t="shared" si="7"/>
        <v>433.76800000000003</v>
      </c>
      <c r="AI11" s="5">
        <f t="shared" si="8"/>
        <v>425.50900000000001</v>
      </c>
      <c r="AJ11" s="5">
        <f t="shared" si="9"/>
        <v>429.20549999999992</v>
      </c>
      <c r="AK11" s="5">
        <f t="shared" si="10"/>
        <v>429.74950000000007</v>
      </c>
      <c r="AM11">
        <v>90</v>
      </c>
      <c r="AN11" s="6">
        <v>3.443111111111111</v>
      </c>
      <c r="AO11" s="6">
        <v>2.4535555555555555</v>
      </c>
      <c r="AP11" s="6">
        <v>2.0128888888888889</v>
      </c>
      <c r="AQ11" s="6">
        <v>1.7664444444444447</v>
      </c>
      <c r="AR11" s="6">
        <v>1.6268888888888886</v>
      </c>
      <c r="AS11" s="6">
        <v>1.5327777777777778</v>
      </c>
      <c r="AT11" s="6">
        <v>1.47</v>
      </c>
      <c r="AU11" s="6">
        <v>1.4267777777777777</v>
      </c>
      <c r="AV11" s="6">
        <v>1.3918888888888887</v>
      </c>
      <c r="AW11" s="6">
        <v>1.3665555555555555</v>
      </c>
      <c r="AZ11">
        <v>3.87298331</v>
      </c>
      <c r="BA11">
        <v>2.6653507699999999</v>
      </c>
      <c r="BB11">
        <v>2.1989679500000001</v>
      </c>
      <c r="BC11">
        <v>1.90897505</v>
      </c>
      <c r="BD11">
        <v>1.72768605</v>
      </c>
      <c r="BE11">
        <v>1.61616187</v>
      </c>
      <c r="BF11">
        <v>1.53616474</v>
      </c>
      <c r="BG11">
        <v>1.4855262199999999</v>
      </c>
      <c r="BH11">
        <v>1.44961852</v>
      </c>
      <c r="BI11">
        <v>1.4117320200000001</v>
      </c>
    </row>
    <row r="12" spans="1:63" x14ac:dyDescent="0.3">
      <c r="A12" s="2">
        <v>90</v>
      </c>
      <c r="B12">
        <v>556.1</v>
      </c>
      <c r="C12">
        <v>496.01</v>
      </c>
      <c r="D12">
        <v>487.23</v>
      </c>
      <c r="E12">
        <v>479.47500000000002</v>
      </c>
      <c r="F12">
        <v>449.745</v>
      </c>
      <c r="G12">
        <v>458.32499999999999</v>
      </c>
      <c r="H12">
        <v>450.56</v>
      </c>
      <c r="I12">
        <v>437.92500000000001</v>
      </c>
      <c r="J12">
        <v>450.58499999999998</v>
      </c>
      <c r="K12">
        <v>448.07</v>
      </c>
      <c r="M12">
        <v>4714.0249999999996</v>
      </c>
      <c r="O12">
        <v>90</v>
      </c>
      <c r="P12">
        <v>556.1</v>
      </c>
      <c r="Q12">
        <v>496.01</v>
      </c>
      <c r="R12">
        <v>487.23</v>
      </c>
      <c r="S12">
        <v>479.47500000000002</v>
      </c>
      <c r="T12">
        <v>449.745</v>
      </c>
      <c r="U12">
        <v>458.32499999999999</v>
      </c>
      <c r="V12">
        <v>450.56</v>
      </c>
      <c r="W12">
        <v>437.92500000000001</v>
      </c>
      <c r="X12">
        <v>450.58499999999998</v>
      </c>
      <c r="Y12">
        <v>448.07</v>
      </c>
      <c r="AA12">
        <v>100</v>
      </c>
      <c r="AB12" s="5">
        <f t="shared" si="1"/>
        <v>531.51350000000002</v>
      </c>
      <c r="AC12" s="5">
        <f t="shared" si="2"/>
        <v>477.86599999999999</v>
      </c>
      <c r="AD12" s="5">
        <f t="shared" si="3"/>
        <v>452.76800000000003</v>
      </c>
      <c r="AE12" s="5">
        <f t="shared" si="4"/>
        <v>438.87299999999993</v>
      </c>
      <c r="AF12" s="5">
        <f t="shared" si="5"/>
        <v>436.87600000000003</v>
      </c>
      <c r="AG12" s="5">
        <f t="shared" si="6"/>
        <v>421.02300000000002</v>
      </c>
      <c r="AH12" s="5">
        <f t="shared" si="7"/>
        <v>413.89300000000003</v>
      </c>
      <c r="AI12" s="5">
        <f t="shared" si="8"/>
        <v>417.55950000000001</v>
      </c>
      <c r="AJ12" s="5">
        <f t="shared" si="9"/>
        <v>423.42299999999994</v>
      </c>
      <c r="AK12" s="5">
        <f t="shared" si="10"/>
        <v>430.23650000000009</v>
      </c>
      <c r="AM12">
        <v>100</v>
      </c>
      <c r="AN12" s="6">
        <v>3.410222222222222</v>
      </c>
      <c r="AO12" s="6">
        <v>2.3906666666666663</v>
      </c>
      <c r="AP12" s="6">
        <v>1.965111111111111</v>
      </c>
      <c r="AQ12" s="6">
        <v>1.7115555555555557</v>
      </c>
      <c r="AR12" s="6">
        <v>1.5645555555555553</v>
      </c>
      <c r="AS12" s="6">
        <v>1.4665555555555558</v>
      </c>
      <c r="AT12" s="6">
        <v>1.3975555555555552</v>
      </c>
      <c r="AU12" s="6">
        <v>1.3528888888888888</v>
      </c>
      <c r="AV12" s="6">
        <v>1.3154444444444444</v>
      </c>
      <c r="AW12" s="6">
        <v>1.2871111111111113</v>
      </c>
      <c r="AY12">
        <f>AW10/AW12</f>
        <v>1.1404523480662982</v>
      </c>
      <c r="AZ12">
        <v>3.87298331</v>
      </c>
      <c r="BA12">
        <v>2.6653507699999999</v>
      </c>
      <c r="BB12">
        <v>2.1989679500000001</v>
      </c>
      <c r="BC12">
        <v>1.90897505</v>
      </c>
      <c r="BD12">
        <v>1.71858757</v>
      </c>
      <c r="BE12">
        <v>1.59467721</v>
      </c>
      <c r="BF12">
        <v>1.5057915100000001</v>
      </c>
      <c r="BG12">
        <v>1.4495264999999999</v>
      </c>
      <c r="BH12">
        <v>1.40962904</v>
      </c>
      <c r="BI12">
        <v>1.36753294</v>
      </c>
      <c r="BK12">
        <f>BI8/BI12</f>
        <v>1.2685657721707235</v>
      </c>
    </row>
    <row r="13" spans="1:63" x14ac:dyDescent="0.3">
      <c r="A13" s="2">
        <v>100</v>
      </c>
      <c r="B13">
        <v>550.54999999999995</v>
      </c>
      <c r="C13">
        <v>497.67</v>
      </c>
      <c r="D13">
        <v>467.09</v>
      </c>
      <c r="E13">
        <v>451</v>
      </c>
      <c r="F13">
        <v>447.08499999999998</v>
      </c>
      <c r="G13">
        <v>450.70499999999998</v>
      </c>
      <c r="H13">
        <v>437.98</v>
      </c>
      <c r="I13">
        <v>447.53</v>
      </c>
      <c r="J13">
        <v>437.18</v>
      </c>
      <c r="K13">
        <v>471.21499999999997</v>
      </c>
      <c r="M13">
        <v>4658.0050000000001</v>
      </c>
      <c r="O13">
        <v>100</v>
      </c>
      <c r="P13">
        <v>550.54999999999995</v>
      </c>
      <c r="Q13">
        <v>497.67</v>
      </c>
      <c r="R13">
        <v>467.09</v>
      </c>
      <c r="S13">
        <v>451</v>
      </c>
      <c r="T13">
        <v>447.08499999999998</v>
      </c>
      <c r="U13">
        <v>450.70499999999998</v>
      </c>
      <c r="V13">
        <v>437.98</v>
      </c>
      <c r="W13">
        <v>447.53</v>
      </c>
      <c r="X13">
        <v>437.18</v>
      </c>
      <c r="Y13">
        <v>471.21499999999997</v>
      </c>
    </row>
    <row r="14" spans="1:63" x14ac:dyDescent="0.3">
      <c r="A14" s="2" t="s">
        <v>22</v>
      </c>
      <c r="AC14" t="s">
        <v>32</v>
      </c>
    </row>
    <row r="15" spans="1:63" x14ac:dyDescent="0.3">
      <c r="A15" s="2" t="s">
        <v>19</v>
      </c>
      <c r="B15">
        <v>6830.8450000000003</v>
      </c>
      <c r="C15">
        <v>6267.0950000000012</v>
      </c>
      <c r="D15">
        <v>6056.34</v>
      </c>
      <c r="E15">
        <v>5918.83</v>
      </c>
      <c r="F15">
        <v>5817.7400000000007</v>
      </c>
      <c r="G15">
        <v>5714.63</v>
      </c>
      <c r="H15">
        <v>5664.3950000000004</v>
      </c>
      <c r="I15">
        <v>5803.01</v>
      </c>
      <c r="J15">
        <v>5605.9849999999997</v>
      </c>
      <c r="K15">
        <v>5676.3899999999994</v>
      </c>
      <c r="M15">
        <v>59355.26</v>
      </c>
    </row>
    <row r="17" spans="1:61" x14ac:dyDescent="0.3">
      <c r="A17">
        <v>3</v>
      </c>
    </row>
    <row r="18" spans="1:61" x14ac:dyDescent="0.3">
      <c r="A18" s="1" t="s">
        <v>28</v>
      </c>
      <c r="B18" s="1" t="s">
        <v>20</v>
      </c>
      <c r="O18" t="s">
        <v>28</v>
      </c>
      <c r="P18" t="s">
        <v>20</v>
      </c>
      <c r="AN18" t="s">
        <v>42</v>
      </c>
      <c r="AZ18" t="s">
        <v>40</v>
      </c>
    </row>
    <row r="19" spans="1:61" ht="15" thickBot="1" x14ac:dyDescent="0.35">
      <c r="A19" s="1" t="s">
        <v>18</v>
      </c>
      <c r="B19">
        <v>10</v>
      </c>
      <c r="C19">
        <v>20</v>
      </c>
      <c r="D19">
        <v>30</v>
      </c>
      <c r="E19">
        <v>40</v>
      </c>
      <c r="F19">
        <v>50</v>
      </c>
      <c r="G19">
        <v>60</v>
      </c>
      <c r="H19">
        <v>70</v>
      </c>
      <c r="I19">
        <v>80</v>
      </c>
      <c r="J19">
        <v>90</v>
      </c>
      <c r="K19">
        <v>100</v>
      </c>
      <c r="L19" t="s">
        <v>22</v>
      </c>
      <c r="M19" t="s">
        <v>19</v>
      </c>
      <c r="O19" t="s">
        <v>18</v>
      </c>
      <c r="P19">
        <v>10</v>
      </c>
      <c r="Q19">
        <v>20</v>
      </c>
      <c r="R19">
        <v>30</v>
      </c>
      <c r="S19">
        <v>40</v>
      </c>
      <c r="T19">
        <v>50</v>
      </c>
      <c r="U19">
        <v>60</v>
      </c>
      <c r="V19">
        <v>70</v>
      </c>
      <c r="W19">
        <v>80</v>
      </c>
      <c r="X19">
        <v>90</v>
      </c>
      <c r="Y19">
        <v>100</v>
      </c>
      <c r="AA19" t="s">
        <v>18</v>
      </c>
      <c r="AB19">
        <v>10</v>
      </c>
      <c r="AC19">
        <v>20</v>
      </c>
      <c r="AD19">
        <v>30</v>
      </c>
      <c r="AE19">
        <v>40</v>
      </c>
      <c r="AF19">
        <v>50</v>
      </c>
      <c r="AG19">
        <v>60</v>
      </c>
      <c r="AH19">
        <v>70</v>
      </c>
      <c r="AI19">
        <v>80</v>
      </c>
      <c r="AJ19">
        <v>90</v>
      </c>
      <c r="AK19">
        <v>100</v>
      </c>
      <c r="AM19" t="s">
        <v>18</v>
      </c>
      <c r="AN19">
        <v>10</v>
      </c>
      <c r="AO19">
        <v>20</v>
      </c>
      <c r="AP19">
        <v>30</v>
      </c>
      <c r="AQ19">
        <v>40</v>
      </c>
      <c r="AR19">
        <v>50</v>
      </c>
      <c r="AS19">
        <v>60</v>
      </c>
      <c r="AT19">
        <v>70</v>
      </c>
      <c r="AU19">
        <v>80</v>
      </c>
      <c r="AV19">
        <v>90</v>
      </c>
      <c r="AW19">
        <v>100</v>
      </c>
      <c r="AY19" t="s">
        <v>18</v>
      </c>
      <c r="AZ19">
        <v>10</v>
      </c>
      <c r="BA19">
        <v>20</v>
      </c>
      <c r="BB19">
        <v>30</v>
      </c>
      <c r="BC19">
        <v>40</v>
      </c>
      <c r="BD19">
        <v>50</v>
      </c>
      <c r="BE19">
        <v>60</v>
      </c>
      <c r="BF19">
        <v>70</v>
      </c>
      <c r="BG19">
        <v>80</v>
      </c>
      <c r="BH19">
        <v>90</v>
      </c>
      <c r="BI19">
        <v>100</v>
      </c>
    </row>
    <row r="20" spans="1:61" x14ac:dyDescent="0.3">
      <c r="A20" s="2">
        <v>10</v>
      </c>
      <c r="B20">
        <v>1118.21</v>
      </c>
      <c r="C20">
        <v>1089.6500000000001</v>
      </c>
      <c r="D20">
        <v>1067.1199999999999</v>
      </c>
      <c r="E20">
        <v>1067.2049999999999</v>
      </c>
      <c r="F20">
        <v>1082.0150000000001</v>
      </c>
      <c r="G20">
        <v>1058.9449999999999</v>
      </c>
      <c r="H20">
        <v>1070.19</v>
      </c>
      <c r="I20">
        <v>1070.1099999999999</v>
      </c>
      <c r="J20">
        <v>1068.96</v>
      </c>
      <c r="K20">
        <v>1082.3499999999999</v>
      </c>
      <c r="M20">
        <v>10774.754999999999</v>
      </c>
      <c r="O20">
        <v>10</v>
      </c>
      <c r="P20">
        <v>1118.21</v>
      </c>
      <c r="Q20">
        <v>1089.6500000000001</v>
      </c>
      <c r="R20">
        <v>1067.1199999999999</v>
      </c>
      <c r="S20">
        <v>1067.2049999999999</v>
      </c>
      <c r="T20">
        <v>1082.0150000000001</v>
      </c>
      <c r="U20">
        <v>1058.9449999999999</v>
      </c>
      <c r="V20">
        <v>1070.19</v>
      </c>
      <c r="W20">
        <v>1070.1099999999999</v>
      </c>
      <c r="X20">
        <v>1068.96</v>
      </c>
      <c r="Y20">
        <v>1082.3499999999999</v>
      </c>
      <c r="AA20">
        <v>10</v>
      </c>
      <c r="AB20" s="7">
        <f t="shared" ref="AB20:AJ28" si="11">AB3/$AK$12</f>
        <v>2.5718424633893209</v>
      </c>
      <c r="AC20" s="7">
        <f t="shared" si="11"/>
        <v>2.507896238464193</v>
      </c>
      <c r="AD20" s="7">
        <f t="shared" si="11"/>
        <v>2.4826194430272643</v>
      </c>
      <c r="AE20" s="7">
        <f t="shared" si="11"/>
        <v>2.4707329573385794</v>
      </c>
      <c r="AF20" s="7">
        <f t="shared" si="11"/>
        <v>2.4641784227976928</v>
      </c>
      <c r="AG20" s="7">
        <f t="shared" si="11"/>
        <v>2.4544082150166244</v>
      </c>
      <c r="AH20" s="7">
        <f t="shared" si="11"/>
        <v>2.4573821607418238</v>
      </c>
      <c r="AI20" s="7">
        <f t="shared" si="11"/>
        <v>2.4678577944920992</v>
      </c>
      <c r="AJ20" s="7">
        <f t="shared" si="11"/>
        <v>2.4579213990444786</v>
      </c>
      <c r="AK20" s="7">
        <f t="shared" ref="AK20:AK28" si="12">AK3/$AK$12</f>
        <v>2.4619680106174155</v>
      </c>
      <c r="AM20">
        <v>10</v>
      </c>
      <c r="AN20" s="9">
        <f>AB36-AN3*96.2</f>
        <v>176.55037222222222</v>
      </c>
      <c r="AO20" s="10">
        <f t="shared" ref="AO20:AW20" si="13">AC36-AO3*96.2</f>
        <v>196.95813611111112</v>
      </c>
      <c r="AP20" s="10">
        <f t="shared" si="13"/>
        <v>202.13380555555557</v>
      </c>
      <c r="AQ20" s="10">
        <f t="shared" si="13"/>
        <v>206.05673611111081</v>
      </c>
      <c r="AR20" s="10">
        <f t="shared" si="13"/>
        <v>209.58276666666677</v>
      </c>
      <c r="AS20" s="10">
        <f t="shared" si="13"/>
        <v>207.94178333333343</v>
      </c>
      <c r="AT20" s="10">
        <f t="shared" si="13"/>
        <v>210.49111666666658</v>
      </c>
      <c r="AU20" s="10">
        <f t="shared" si="13"/>
        <v>215.61408888888889</v>
      </c>
      <c r="AV20" s="10">
        <f t="shared" si="13"/>
        <v>214.17780000000005</v>
      </c>
      <c r="AW20" s="11">
        <f t="shared" si="13"/>
        <v>216.37122777777768</v>
      </c>
      <c r="AY20">
        <v>10</v>
      </c>
      <c r="AZ20" s="7">
        <f>AZ3/AN3-1</f>
        <v>-6.5000436707911668E-2</v>
      </c>
      <c r="BA20" s="7">
        <f>BA3/AO3-1</f>
        <v>-3.9443636993629405E-2</v>
      </c>
      <c r="BB20" s="7">
        <f>BB3/AP3-1</f>
        <v>-2.8771098284511076E-2</v>
      </c>
      <c r="BC20" s="7">
        <f>BC3/AQ3-1</f>
        <v>-2.345163013441709E-2</v>
      </c>
      <c r="BD20" s="7">
        <f>BD3/AR3-1</f>
        <v>-2.0488733594810515E-2</v>
      </c>
      <c r="BE20" s="7">
        <f>BE3/AS3-1</f>
        <v>-1.7853372211913299E-2</v>
      </c>
      <c r="BF20" s="7">
        <f>BF3/AT3-1</f>
        <v>-1.6442172576114356E-2</v>
      </c>
      <c r="BG20" s="7">
        <f>BG3/AU3-1</f>
        <v>-1.5650512982980813E-2</v>
      </c>
      <c r="BH20" s="7">
        <f>BH3/AV3-1</f>
        <v>-1.4769621973503844E-2</v>
      </c>
      <c r="BI20" s="7">
        <f>BI3/AW3-1</f>
        <v>-1.4212114556471644E-2</v>
      </c>
    </row>
    <row r="21" spans="1:61" x14ac:dyDescent="0.3">
      <c r="A21" s="2">
        <v>20</v>
      </c>
      <c r="B21">
        <v>761.74</v>
      </c>
      <c r="C21">
        <v>711.35</v>
      </c>
      <c r="D21">
        <v>699.82</v>
      </c>
      <c r="E21">
        <v>690.09</v>
      </c>
      <c r="F21">
        <v>692.38499999999999</v>
      </c>
      <c r="G21">
        <v>681.57</v>
      </c>
      <c r="H21">
        <v>681.65</v>
      </c>
      <c r="I21">
        <v>680.2</v>
      </c>
      <c r="J21">
        <v>667.78499999999997</v>
      </c>
      <c r="K21">
        <v>667.48</v>
      </c>
      <c r="M21">
        <v>6934.07</v>
      </c>
      <c r="O21">
        <v>20</v>
      </c>
      <c r="P21">
        <v>761.74</v>
      </c>
      <c r="Q21">
        <v>711.35</v>
      </c>
      <c r="R21">
        <v>699.82</v>
      </c>
      <c r="S21">
        <v>690.09</v>
      </c>
      <c r="T21">
        <v>692.38499999999999</v>
      </c>
      <c r="U21">
        <v>681.57</v>
      </c>
      <c r="V21">
        <v>681.65</v>
      </c>
      <c r="W21">
        <v>680.2</v>
      </c>
      <c r="X21">
        <v>667.78499999999997</v>
      </c>
      <c r="Y21">
        <v>667.48</v>
      </c>
      <c r="AA21">
        <v>20</v>
      </c>
      <c r="AB21" s="7">
        <f t="shared" si="11"/>
        <v>1.7534251510506429</v>
      </c>
      <c r="AC21" s="7">
        <f t="shared" si="11"/>
        <v>1.6404396186748449</v>
      </c>
      <c r="AD21" s="7">
        <f t="shared" si="11"/>
        <v>1.5909517207396393</v>
      </c>
      <c r="AE21" s="7">
        <f t="shared" si="11"/>
        <v>1.5787967780511416</v>
      </c>
      <c r="AF21" s="7">
        <f t="shared" si="11"/>
        <v>1.5742922787815534</v>
      </c>
      <c r="AG21" s="7">
        <f t="shared" si="11"/>
        <v>1.5580105360656289</v>
      </c>
      <c r="AH21" s="7">
        <f t="shared" si="11"/>
        <v>1.5591599039133124</v>
      </c>
      <c r="AI21" s="7">
        <f t="shared" si="11"/>
        <v>1.55491107797688</v>
      </c>
      <c r="AJ21" s="7">
        <f t="shared" si="11"/>
        <v>1.5556560170975726</v>
      </c>
      <c r="AK21" s="7">
        <f t="shared" si="12"/>
        <v>1.5432872385304357</v>
      </c>
      <c r="AM21">
        <v>20</v>
      </c>
      <c r="AN21" s="12">
        <f t="shared" ref="AN21:AN29" si="14">AB37-AN4*96.2</f>
        <v>199.10709166666663</v>
      </c>
      <c r="AO21" s="5">
        <f t="shared" ref="AO21:AO29" si="15">AC37-AO4*96.2</f>
        <v>218.09139444444463</v>
      </c>
      <c r="AP21" s="5">
        <f t="shared" ref="AP21:AP29" si="16">AD37-AP4*96.2</f>
        <v>218.08233611111115</v>
      </c>
      <c r="AQ21" s="5">
        <f t="shared" ref="AQ21:AQ29" si="17">AE37-AQ4*96.2</f>
        <v>226.87654999999995</v>
      </c>
      <c r="AR21" s="5">
        <f t="shared" ref="AR21:AR29" si="18">AF37-AR4*96.2</f>
        <v>229.5428222222223</v>
      </c>
      <c r="AS21" s="5">
        <f t="shared" ref="AS21:AS29" si="19">AG37-AS4*96.2</f>
        <v>227.38989166666676</v>
      </c>
      <c r="AT21" s="5">
        <f t="shared" ref="AT21:AT29" si="20">AH37-AT4*96.2</f>
        <v>229.93784444444452</v>
      </c>
      <c r="AU21" s="5">
        <f t="shared" ref="AU21:AU29" si="21">AI37-AU4*96.2</f>
        <v>230.5136055555555</v>
      </c>
      <c r="AV21" s="5">
        <f t="shared" ref="AV21:AV29" si="22">AJ37-AV4*96.2</f>
        <v>231.69988055555547</v>
      </c>
      <c r="AW21" s="13">
        <f t="shared" ref="AW21:AW29" si="23">AK37-AW4*96.2</f>
        <v>227.27259722222232</v>
      </c>
      <c r="AY21">
        <v>20</v>
      </c>
      <c r="AZ21" s="7">
        <f>AZ4/AN4-1</f>
        <v>-0.10445726110596953</v>
      </c>
      <c r="BA21" s="7">
        <f>BA4/AO4-1</f>
        <v>-7.0836921978649325E-2</v>
      </c>
      <c r="BB21" s="7">
        <f>BB4/AP4-1</f>
        <v>-5.2938511103944097E-2</v>
      </c>
      <c r="BC21" s="7">
        <f>BC4/AQ4-1</f>
        <v>-4.413689120272013E-2</v>
      </c>
      <c r="BD21" s="7">
        <f>BD4/AR4-1</f>
        <v>-3.8025347894888095E-2</v>
      </c>
      <c r="BE21" s="7">
        <f>BE4/AS4-1</f>
        <v>-3.4927546622160799E-2</v>
      </c>
      <c r="BF21" s="7">
        <f>BF4/AT4-1</f>
        <v>-3.2219663435779977E-2</v>
      </c>
      <c r="BG21" s="7">
        <f>BG4/AU4-1</f>
        <v>-3.0246144492831695E-2</v>
      </c>
      <c r="BH21" s="7">
        <f>BH4/AV4-1</f>
        <v>-2.9438657704950466E-2</v>
      </c>
      <c r="BI21" s="7">
        <f>BI4/AW4-1</f>
        <v>-2.8652547042184007E-2</v>
      </c>
    </row>
    <row r="22" spans="1:61" x14ac:dyDescent="0.3">
      <c r="A22" s="2">
        <v>30</v>
      </c>
      <c r="B22">
        <v>671.55499999999995</v>
      </c>
      <c r="C22">
        <v>608.73</v>
      </c>
      <c r="D22">
        <v>584.20000000000005</v>
      </c>
      <c r="E22">
        <v>562.72</v>
      </c>
      <c r="F22">
        <v>577.61</v>
      </c>
      <c r="G22">
        <v>550.68499999999995</v>
      </c>
      <c r="H22">
        <v>563.18499999999995</v>
      </c>
      <c r="I22">
        <v>548.755</v>
      </c>
      <c r="J22">
        <v>567.79</v>
      </c>
      <c r="K22">
        <v>542.84</v>
      </c>
      <c r="M22">
        <v>5778.07</v>
      </c>
      <c r="O22">
        <v>30</v>
      </c>
      <c r="P22">
        <v>671.55499999999995</v>
      </c>
      <c r="Q22">
        <v>608.73</v>
      </c>
      <c r="R22">
        <v>584.20000000000005</v>
      </c>
      <c r="S22">
        <v>562.72</v>
      </c>
      <c r="T22">
        <v>577.61</v>
      </c>
      <c r="U22">
        <v>550.68499999999995</v>
      </c>
      <c r="V22">
        <v>563.18499999999995</v>
      </c>
      <c r="W22">
        <v>548.755</v>
      </c>
      <c r="X22">
        <v>567.79</v>
      </c>
      <c r="Y22">
        <v>542.84</v>
      </c>
      <c r="AA22">
        <v>30</v>
      </c>
      <c r="AB22" s="7">
        <f t="shared" si="11"/>
        <v>1.5259165598455726</v>
      </c>
      <c r="AC22" s="7">
        <f t="shared" si="11"/>
        <v>1.3894427832134184</v>
      </c>
      <c r="AD22" s="7">
        <f t="shared" si="11"/>
        <v>1.3372517208558545</v>
      </c>
      <c r="AE22" s="7">
        <f t="shared" si="11"/>
        <v>1.3102479682686148</v>
      </c>
      <c r="AF22" s="7">
        <f t="shared" si="11"/>
        <v>1.3016654793352025</v>
      </c>
      <c r="AG22" s="7">
        <f t="shared" si="11"/>
        <v>1.2908876861911993</v>
      </c>
      <c r="AH22" s="7">
        <f t="shared" si="11"/>
        <v>1.2839635874687525</v>
      </c>
      <c r="AI22" s="7">
        <f t="shared" si="11"/>
        <v>1.284000776317211</v>
      </c>
      <c r="AJ22" s="7">
        <f t="shared" si="11"/>
        <v>1.2782783422605932</v>
      </c>
      <c r="AK22" s="7">
        <f t="shared" si="12"/>
        <v>1.2726500424766378</v>
      </c>
      <c r="AM22">
        <v>30</v>
      </c>
      <c r="AN22" s="12">
        <f t="shared" si="14"/>
        <v>207.28931111111098</v>
      </c>
      <c r="AO22" s="5">
        <f t="shared" si="15"/>
        <v>231.2992361111111</v>
      </c>
      <c r="AP22" s="5">
        <f t="shared" si="16"/>
        <v>236.79164722222202</v>
      </c>
      <c r="AQ22" s="5">
        <f t="shared" si="17"/>
        <v>239.72537777777779</v>
      </c>
      <c r="AR22" s="5">
        <f t="shared" si="18"/>
        <v>243.03823055555557</v>
      </c>
      <c r="AS22" s="5">
        <f t="shared" si="19"/>
        <v>241.5896722222223</v>
      </c>
      <c r="AT22" s="5">
        <f t="shared" si="20"/>
        <v>245.77844722222221</v>
      </c>
      <c r="AU22" s="5">
        <f t="shared" si="21"/>
        <v>245.53030833333315</v>
      </c>
      <c r="AV22" s="5">
        <f t="shared" si="22"/>
        <v>246.75440833333312</v>
      </c>
      <c r="AW22" s="13">
        <f t="shared" si="23"/>
        <v>246.27018611111117</v>
      </c>
      <c r="AY22">
        <v>30</v>
      </c>
      <c r="AZ22" s="7">
        <f>AZ5/AN5-1</f>
        <v>-0.10332403670163204</v>
      </c>
      <c r="BA22" s="7">
        <f>BA5/AO5-1</f>
        <v>-8.1180916801174008E-2</v>
      </c>
      <c r="BB22" s="7">
        <f>BB5/AP5-1</f>
        <v>-6.2310687650870444E-2</v>
      </c>
      <c r="BC22" s="7">
        <f>BC5/AQ5-1</f>
        <v>-5.3287785248236408E-2</v>
      </c>
      <c r="BD22" s="7">
        <f>BD5/AR5-1</f>
        <v>-4.7676914821355831E-2</v>
      </c>
      <c r="BE22" s="7">
        <f>BE5/AS5-1</f>
        <v>-4.4336916974233254E-2</v>
      </c>
      <c r="BF22" s="7">
        <f>BF5/AT5-1</f>
        <v>-4.1606635145509219E-2</v>
      </c>
      <c r="BG22" s="7">
        <f>BG5/AU5-1</f>
        <v>-3.970321485075412E-2</v>
      </c>
      <c r="BH22" s="7">
        <f>BH5/AV5-1</f>
        <v>-3.8011442664686479E-2</v>
      </c>
      <c r="BI22" s="7">
        <f>BI5/AW5-1</f>
        <v>-3.8289768911291655E-2</v>
      </c>
    </row>
    <row r="23" spans="1:61" x14ac:dyDescent="0.3">
      <c r="A23" s="2">
        <v>40</v>
      </c>
      <c r="B23">
        <v>626.63499999999999</v>
      </c>
      <c r="C23">
        <v>574.90499999999997</v>
      </c>
      <c r="D23">
        <v>531.20500000000004</v>
      </c>
      <c r="E23">
        <v>514.65499999999997</v>
      </c>
      <c r="F23">
        <v>506.69499999999999</v>
      </c>
      <c r="G23">
        <v>503.77</v>
      </c>
      <c r="H23">
        <v>497.27</v>
      </c>
      <c r="I23">
        <v>514.01</v>
      </c>
      <c r="J23">
        <v>498.85</v>
      </c>
      <c r="K23">
        <v>495.11500000000001</v>
      </c>
      <c r="M23">
        <v>5263.11</v>
      </c>
      <c r="O23">
        <v>40</v>
      </c>
      <c r="P23">
        <v>626.63499999999999</v>
      </c>
      <c r="Q23">
        <v>574.90499999999997</v>
      </c>
      <c r="R23">
        <v>531.20500000000004</v>
      </c>
      <c r="S23">
        <v>514.65499999999997</v>
      </c>
      <c r="T23">
        <v>506.69499999999999</v>
      </c>
      <c r="U23">
        <v>503.77</v>
      </c>
      <c r="V23">
        <v>497.27</v>
      </c>
      <c r="W23">
        <v>514.01</v>
      </c>
      <c r="X23">
        <v>498.85</v>
      </c>
      <c r="Y23">
        <v>495.11500000000001</v>
      </c>
      <c r="AA23">
        <v>40</v>
      </c>
      <c r="AB23" s="7">
        <f t="shared" si="11"/>
        <v>1.4515888354428319</v>
      </c>
      <c r="AC23" s="7">
        <f t="shared" si="11"/>
        <v>1.2886028963140039</v>
      </c>
      <c r="AD23" s="7">
        <f t="shared" si="11"/>
        <v>1.231286745778194</v>
      </c>
      <c r="AE23" s="7">
        <f t="shared" si="11"/>
        <v>1.2019098797986683</v>
      </c>
      <c r="AF23" s="7">
        <f t="shared" si="11"/>
        <v>1.1736626250910835</v>
      </c>
      <c r="AG23" s="7">
        <f t="shared" si="11"/>
        <v>1.1617226804327385</v>
      </c>
      <c r="AH23" s="7">
        <f t="shared" si="11"/>
        <v>1.1601712081610924</v>
      </c>
      <c r="AI23" s="7">
        <f t="shared" si="11"/>
        <v>1.1953506966517253</v>
      </c>
      <c r="AJ23" s="7">
        <f t="shared" si="11"/>
        <v>1.1659773171267429</v>
      </c>
      <c r="AK23" s="7">
        <f t="shared" si="12"/>
        <v>1.1579968226777595</v>
      </c>
      <c r="AM23">
        <v>40</v>
      </c>
      <c r="AN23" s="12">
        <f t="shared" si="14"/>
        <v>216.45073333333335</v>
      </c>
      <c r="AO23" s="5">
        <f t="shared" si="15"/>
        <v>244.26278611111127</v>
      </c>
      <c r="AP23" s="5">
        <f t="shared" si="16"/>
        <v>250.56160555555545</v>
      </c>
      <c r="AQ23" s="5">
        <f t="shared" si="17"/>
        <v>255.79485277777763</v>
      </c>
      <c r="AR23" s="5">
        <f t="shared" si="18"/>
        <v>252.47066388888896</v>
      </c>
      <c r="AS23" s="5">
        <f t="shared" si="19"/>
        <v>249.96048333333326</v>
      </c>
      <c r="AT23" s="5">
        <f t="shared" si="20"/>
        <v>254.16819166666656</v>
      </c>
      <c r="AU23" s="5">
        <f t="shared" si="21"/>
        <v>275.55357500000019</v>
      </c>
      <c r="AV23" s="5">
        <f t="shared" si="22"/>
        <v>263.16744722222222</v>
      </c>
      <c r="AW23" s="13">
        <f t="shared" si="23"/>
        <v>260.69023333333337</v>
      </c>
      <c r="AY23">
        <v>40</v>
      </c>
      <c r="AZ23" s="7">
        <f>AZ6/AN6-1</f>
        <v>-7.4524810206830994E-2</v>
      </c>
      <c r="BA23" s="7">
        <f>BA6/AO6-1</f>
        <v>-7.3412773350886806E-2</v>
      </c>
      <c r="BB23" s="7">
        <f>BB6/AP6-1</f>
        <v>-5.8945986712503395E-2</v>
      </c>
      <c r="BC23" s="7">
        <f>BC6/AQ6-1</f>
        <v>-5.1265984565494138E-2</v>
      </c>
      <c r="BD23" s="7">
        <f>BD6/AR6-1</f>
        <v>-4.764816352575818E-2</v>
      </c>
      <c r="BE23" s="7">
        <f>BE6/AS6-1</f>
        <v>-4.4471830415469205E-2</v>
      </c>
      <c r="BF23" s="7">
        <f>BF6/AT6-1</f>
        <v>-4.2774631425156029E-2</v>
      </c>
      <c r="BG23" s="7">
        <f>BG6/AU6-1</f>
        <v>-4.1944206924315663E-2</v>
      </c>
      <c r="BH23" s="7">
        <f>BH6/AV6-1</f>
        <v>-4.073115294435925E-2</v>
      </c>
      <c r="BI23" s="7">
        <f>BI6/AW6-1</f>
        <v>-4.0599599400463204E-2</v>
      </c>
    </row>
    <row r="24" spans="1:61" x14ac:dyDescent="0.3">
      <c r="A24" s="2">
        <v>50</v>
      </c>
      <c r="B24">
        <v>611.79999999999995</v>
      </c>
      <c r="C24">
        <v>541.02499999999998</v>
      </c>
      <c r="D24">
        <v>515.90499999999997</v>
      </c>
      <c r="E24">
        <v>514.16999999999996</v>
      </c>
      <c r="F24">
        <v>519.97500000000002</v>
      </c>
      <c r="G24">
        <v>497.47</v>
      </c>
      <c r="H24">
        <v>495.27</v>
      </c>
      <c r="I24">
        <v>489.89499999999998</v>
      </c>
      <c r="J24">
        <v>496.73</v>
      </c>
      <c r="K24">
        <v>479.61500000000001</v>
      </c>
      <c r="M24">
        <v>5161.8549999999996</v>
      </c>
      <c r="O24">
        <v>50</v>
      </c>
      <c r="P24">
        <v>611.79999999999995</v>
      </c>
      <c r="Q24">
        <v>541.02499999999998</v>
      </c>
      <c r="R24">
        <v>515.90499999999997</v>
      </c>
      <c r="S24">
        <v>514.16999999999996</v>
      </c>
      <c r="T24">
        <v>519.97500000000002</v>
      </c>
      <c r="U24">
        <v>497.47</v>
      </c>
      <c r="V24">
        <v>495.27</v>
      </c>
      <c r="W24">
        <v>489.89499999999998</v>
      </c>
      <c r="X24">
        <v>496.73</v>
      </c>
      <c r="Y24">
        <v>479.61500000000001</v>
      </c>
      <c r="AA24">
        <v>50</v>
      </c>
      <c r="AB24" s="7">
        <f t="shared" si="11"/>
        <v>1.4088309569271782</v>
      </c>
      <c r="AC24" s="7">
        <f t="shared" si="11"/>
        <v>1.247130357373212</v>
      </c>
      <c r="AD24" s="7">
        <f t="shared" si="11"/>
        <v>1.1957865034696031</v>
      </c>
      <c r="AE24" s="7">
        <f t="shared" si="11"/>
        <v>1.1806262369650176</v>
      </c>
      <c r="AF24" s="7">
        <f t="shared" si="11"/>
        <v>1.1574064497084742</v>
      </c>
      <c r="AG24" s="7">
        <f t="shared" si="11"/>
        <v>1.1407714129321895</v>
      </c>
      <c r="AH24" s="7">
        <f t="shared" si="11"/>
        <v>1.1318588729687042</v>
      </c>
      <c r="AI24" s="7">
        <f t="shared" si="11"/>
        <v>1.123092764096026</v>
      </c>
      <c r="AJ24" s="7">
        <f t="shared" si="11"/>
        <v>1.1240922143983596</v>
      </c>
      <c r="AK24" s="7">
        <f t="shared" si="12"/>
        <v>1.113955928890273</v>
      </c>
      <c r="AM24">
        <v>50</v>
      </c>
      <c r="AN24" s="12">
        <f t="shared" si="14"/>
        <v>221.03859444444453</v>
      </c>
      <c r="AO24" s="5">
        <f t="shared" si="15"/>
        <v>256.78250555555553</v>
      </c>
      <c r="AP24" s="5">
        <f t="shared" si="16"/>
        <v>269.69395555555559</v>
      </c>
      <c r="AQ24" s="5">
        <f t="shared" si="17"/>
        <v>281.68226944444427</v>
      </c>
      <c r="AR24" s="5">
        <f t="shared" si="18"/>
        <v>282.02522222222228</v>
      </c>
      <c r="AS24" s="5">
        <f t="shared" si="19"/>
        <v>282.86911666666668</v>
      </c>
      <c r="AT24" s="5">
        <f t="shared" si="20"/>
        <v>282.7866527777777</v>
      </c>
      <c r="AU24" s="5">
        <f t="shared" si="21"/>
        <v>280.99096944444443</v>
      </c>
      <c r="AV24" s="5">
        <f t="shared" si="22"/>
        <v>283.64938611111103</v>
      </c>
      <c r="AW24" s="13">
        <f t="shared" si="23"/>
        <v>282.27612777777779</v>
      </c>
      <c r="AY24">
        <v>50</v>
      </c>
      <c r="AZ24" s="7">
        <f>AZ7/AN7-1</f>
        <v>-2.6263379892169647E-2</v>
      </c>
      <c r="BA24" s="7">
        <f>BA7/AO7-1</f>
        <v>-4.983702084372954E-2</v>
      </c>
      <c r="BB24" s="7">
        <f>BB7/AP7-1</f>
        <v>-4.1250764353645497E-2</v>
      </c>
      <c r="BC24" s="7">
        <f>BC7/AQ7-1</f>
        <v>-3.9648145015680036E-2</v>
      </c>
      <c r="BD24" s="7">
        <f>BD7/AR7-1</f>
        <v>-3.9069345943255396E-2</v>
      </c>
      <c r="BE24" s="7">
        <f>BE7/AS7-1</f>
        <v>-3.8147041711559249E-2</v>
      </c>
      <c r="BF24" s="7">
        <f>BF7/AT7-1</f>
        <v>-3.7382457502623367E-2</v>
      </c>
      <c r="BG24" s="7">
        <f>BG7/AU7-1</f>
        <v>-3.6871359450683872E-2</v>
      </c>
      <c r="BH24" s="7">
        <f>BH7/AV7-1</f>
        <v>-3.5648420627657829E-2</v>
      </c>
      <c r="BI24" s="7">
        <f>BI7/AW7-1</f>
        <v>-3.6824059120795893E-2</v>
      </c>
    </row>
    <row r="25" spans="1:61" x14ac:dyDescent="0.3">
      <c r="A25" s="2">
        <v>60</v>
      </c>
      <c r="B25">
        <v>599.07000000000005</v>
      </c>
      <c r="C25">
        <v>537.76</v>
      </c>
      <c r="D25">
        <v>508.48500000000001</v>
      </c>
      <c r="E25">
        <v>492.79500000000002</v>
      </c>
      <c r="F25">
        <v>495.28</v>
      </c>
      <c r="G25">
        <v>473.61500000000001</v>
      </c>
      <c r="H25">
        <v>457.29500000000002</v>
      </c>
      <c r="I25">
        <v>466.64</v>
      </c>
      <c r="J25">
        <v>479.49</v>
      </c>
      <c r="K25">
        <v>486.14</v>
      </c>
      <c r="M25">
        <v>4996.5700000000006</v>
      </c>
      <c r="O25">
        <v>60</v>
      </c>
      <c r="P25">
        <v>599.07000000000005</v>
      </c>
      <c r="Q25">
        <v>537.76</v>
      </c>
      <c r="R25">
        <v>508.48500000000001</v>
      </c>
      <c r="S25">
        <v>492.79500000000002</v>
      </c>
      <c r="T25">
        <v>495.28</v>
      </c>
      <c r="U25">
        <v>473.61500000000001</v>
      </c>
      <c r="V25">
        <v>457.29500000000002</v>
      </c>
      <c r="W25">
        <v>466.64</v>
      </c>
      <c r="X25">
        <v>479.49</v>
      </c>
      <c r="Y25">
        <v>486.14</v>
      </c>
      <c r="AA25">
        <v>60</v>
      </c>
      <c r="AB25" s="7">
        <f t="shared" si="11"/>
        <v>1.3872242359725402</v>
      </c>
      <c r="AC25" s="7">
        <f t="shared" si="11"/>
        <v>1.2406362547110716</v>
      </c>
      <c r="AD25" s="7">
        <f t="shared" si="11"/>
        <v>1.18072850629828</v>
      </c>
      <c r="AE25" s="7">
        <f t="shared" si="11"/>
        <v>1.1482475336239486</v>
      </c>
      <c r="AF25" s="7">
        <f t="shared" si="11"/>
        <v>1.115807236252619</v>
      </c>
      <c r="AG25" s="7">
        <f t="shared" si="11"/>
        <v>1.1014860431413882</v>
      </c>
      <c r="AH25" s="7">
        <f t="shared" si="11"/>
        <v>1.0776177753398417</v>
      </c>
      <c r="AI25" s="7">
        <f>AI8/$AK$12</f>
        <v>1.0720743126164325</v>
      </c>
      <c r="AJ25" s="7">
        <f t="shared" si="11"/>
        <v>1.0680579169828686</v>
      </c>
      <c r="AK25" s="7">
        <f t="shared" si="12"/>
        <v>1.0668341714382668</v>
      </c>
      <c r="AM25">
        <v>60</v>
      </c>
      <c r="AN25" s="12">
        <f t="shared" si="14"/>
        <v>229.91091666666654</v>
      </c>
      <c r="AO25" s="5">
        <f t="shared" si="15"/>
        <v>270.85665277777775</v>
      </c>
      <c r="AP25" s="5">
        <f t="shared" si="16"/>
        <v>286.13336944444444</v>
      </c>
      <c r="AQ25" s="5">
        <f t="shared" si="17"/>
        <v>290.8020472222222</v>
      </c>
      <c r="AR25" s="5">
        <f t="shared" si="18"/>
        <v>285.7156861111111</v>
      </c>
      <c r="AS25" s="5">
        <f t="shared" si="19"/>
        <v>289.62506111111111</v>
      </c>
      <c r="AT25" s="5">
        <f t="shared" si="20"/>
        <v>282.24068611111102</v>
      </c>
      <c r="AU25" s="5">
        <f t="shared" si="21"/>
        <v>283.04988055555543</v>
      </c>
      <c r="AV25" s="5">
        <f t="shared" si="22"/>
        <v>284.98789166666666</v>
      </c>
      <c r="AW25" s="13">
        <f t="shared" si="23"/>
        <v>286.33870277777783</v>
      </c>
      <c r="AY25">
        <v>60</v>
      </c>
      <c r="AZ25" s="7">
        <f>AZ8/AN8-1</f>
        <v>1.8759309951775327E-2</v>
      </c>
      <c r="BA25" s="7">
        <f>BA8/AO8-1</f>
        <v>-1.6921831561733436E-2</v>
      </c>
      <c r="BB25" s="7">
        <f>BB8/AP8-1</f>
        <v>-1.5437516591324418E-2</v>
      </c>
      <c r="BC25" s="7">
        <f>BC8/AQ8-1</f>
        <v>-1.8952550116058231E-2</v>
      </c>
      <c r="BD25" s="7">
        <f>BD8/AR8-1</f>
        <v>-2.2445792529730335E-2</v>
      </c>
      <c r="BE25" s="7">
        <f>BE8/AS8-1</f>
        <v>-2.2985131701090511E-2</v>
      </c>
      <c r="BF25" s="7">
        <f>BF8/AT8-1</f>
        <v>-2.5387490766114573E-2</v>
      </c>
      <c r="BG25" s="7">
        <f>BG8/AU8-1</f>
        <v>-2.4898913518765942E-2</v>
      </c>
      <c r="BH25" s="7">
        <f>BH8/AV8-1</f>
        <v>-2.4174936240990874E-2</v>
      </c>
      <c r="BI25" s="7">
        <f>BI8/AW8-1</f>
        <v>-2.7454259374610657E-2</v>
      </c>
    </row>
    <row r="26" spans="1:61" x14ac:dyDescent="0.3">
      <c r="A26" s="2">
        <v>70</v>
      </c>
      <c r="B26">
        <v>579.21500000000003</v>
      </c>
      <c r="C26">
        <v>526.24</v>
      </c>
      <c r="D26">
        <v>484.58499999999998</v>
      </c>
      <c r="E26">
        <v>457.75</v>
      </c>
      <c r="F26">
        <v>473.91500000000002</v>
      </c>
      <c r="G26">
        <v>465.65</v>
      </c>
      <c r="H26">
        <v>401.63</v>
      </c>
      <c r="I26">
        <v>461.51499999999999</v>
      </c>
      <c r="J26">
        <v>428.53</v>
      </c>
      <c r="K26">
        <v>469.86</v>
      </c>
      <c r="M26">
        <v>4748.8899999999994</v>
      </c>
      <c r="O26">
        <v>70</v>
      </c>
      <c r="P26">
        <v>579.21500000000003</v>
      </c>
      <c r="Q26">
        <v>526.24</v>
      </c>
      <c r="R26">
        <v>484.58499999999998</v>
      </c>
      <c r="S26">
        <v>457.75</v>
      </c>
      <c r="T26">
        <v>473.91500000000002</v>
      </c>
      <c r="U26">
        <v>465.65</v>
      </c>
      <c r="V26">
        <v>401.63</v>
      </c>
      <c r="W26">
        <v>461.51499999999999</v>
      </c>
      <c r="X26">
        <v>428.53</v>
      </c>
      <c r="Y26">
        <v>469.86</v>
      </c>
      <c r="AA26">
        <v>70</v>
      </c>
      <c r="AB26" s="7">
        <f t="shared" si="11"/>
        <v>1.3319290669201702</v>
      </c>
      <c r="AC26" s="7">
        <f t="shared" si="11"/>
        <v>1.1970823024080939</v>
      </c>
      <c r="AD26" s="7">
        <f t="shared" si="11"/>
        <v>1.1339960696035785</v>
      </c>
      <c r="AE26" s="7">
        <f t="shared" si="11"/>
        <v>1.0907791412397598</v>
      </c>
      <c r="AF26" s="7">
        <f t="shared" si="11"/>
        <v>1.0629967471379111</v>
      </c>
      <c r="AG26" s="7">
        <f t="shared" si="11"/>
        <v>1.0536646704777486</v>
      </c>
      <c r="AH26" s="7">
        <f t="shared" si="11"/>
        <v>1.0305390174938664</v>
      </c>
      <c r="AI26" s="7">
        <f t="shared" si="11"/>
        <v>1.044424403787219</v>
      </c>
      <c r="AJ26" s="7">
        <f t="shared" si="11"/>
        <v>1.0110962226589328</v>
      </c>
      <c r="AK26" s="7">
        <f t="shared" si="12"/>
        <v>1.046591816361466</v>
      </c>
      <c r="AM26">
        <v>70</v>
      </c>
      <c r="AN26" s="12">
        <f t="shared" si="14"/>
        <v>219.18122499999987</v>
      </c>
      <c r="AO26" s="5">
        <f t="shared" si="15"/>
        <v>263.42292222222216</v>
      </c>
      <c r="AP26" s="5">
        <f t="shared" si="16"/>
        <v>277.61542500000007</v>
      </c>
      <c r="AQ26" s="5">
        <f t="shared" si="17"/>
        <v>279.49811111111114</v>
      </c>
      <c r="AR26" s="5">
        <f t="shared" si="18"/>
        <v>284.9187861111111</v>
      </c>
      <c r="AS26" s="5">
        <f t="shared" si="19"/>
        <v>288.42349999999993</v>
      </c>
      <c r="AT26" s="5">
        <f t="shared" si="20"/>
        <v>280.56749722222219</v>
      </c>
      <c r="AU26" s="5">
        <f t="shared" si="21"/>
        <v>291.59854444444443</v>
      </c>
      <c r="AV26" s="5">
        <f t="shared" si="22"/>
        <v>275.18847222222223</v>
      </c>
      <c r="AW26" s="13">
        <f t="shared" si="23"/>
        <v>297.62524166666662</v>
      </c>
      <c r="AY26">
        <v>70</v>
      </c>
      <c r="AZ26" s="7">
        <f>AZ9/AN9-1</f>
        <v>5.7614229929000338E-2</v>
      </c>
      <c r="BA26" s="7">
        <f>BA9/AO9-1</f>
        <v>2.0729200034040884E-2</v>
      </c>
      <c r="BB26" s="7">
        <f>BB9/AP9-1</f>
        <v>1.8760732381390754E-2</v>
      </c>
      <c r="BC26" s="7">
        <f>BC9/AQ9-1</f>
        <v>8.9179641230066053E-3</v>
      </c>
      <c r="BD26" s="7">
        <f>BD9/AR9-1</f>
        <v>2.1550352712251808E-4</v>
      </c>
      <c r="BE26" s="7">
        <f>BE9/AS9-1</f>
        <v>-2.4275988538682292E-3</v>
      </c>
      <c r="BF26" s="7">
        <f>BF9/AT9-1</f>
        <v>-6.9093708914015339E-3</v>
      </c>
      <c r="BG26" s="7">
        <f>BG9/AU9-1</f>
        <v>-7.4396111148489208E-3</v>
      </c>
      <c r="BH26" s="7">
        <f>BH9/AV9-1</f>
        <v>-6.7759534246576436E-3</v>
      </c>
      <c r="BI26" s="7">
        <f>BI9/AW9-1</f>
        <v>-1.1809964598084144E-2</v>
      </c>
    </row>
    <row r="27" spans="1:61" x14ac:dyDescent="0.3">
      <c r="A27" s="2">
        <v>80</v>
      </c>
      <c r="B27">
        <v>558</v>
      </c>
      <c r="C27">
        <v>488.91500000000002</v>
      </c>
      <c r="D27">
        <v>491.28</v>
      </c>
      <c r="E27">
        <v>465.5</v>
      </c>
      <c r="F27">
        <v>461.26499999999999</v>
      </c>
      <c r="G27">
        <v>419.17</v>
      </c>
      <c r="H27">
        <v>461.55500000000001</v>
      </c>
      <c r="I27">
        <v>435.565</v>
      </c>
      <c r="J27">
        <v>402.33</v>
      </c>
      <c r="K27">
        <v>449.87</v>
      </c>
      <c r="M27">
        <v>4633.45</v>
      </c>
      <c r="O27">
        <v>80</v>
      </c>
      <c r="P27">
        <v>558</v>
      </c>
      <c r="Q27">
        <v>488.91500000000002</v>
      </c>
      <c r="R27">
        <v>491.28</v>
      </c>
      <c r="S27">
        <v>465.5</v>
      </c>
      <c r="T27">
        <v>461.26499999999999</v>
      </c>
      <c r="U27">
        <v>419.17</v>
      </c>
      <c r="V27">
        <v>461.55500000000001</v>
      </c>
      <c r="W27">
        <v>435.565</v>
      </c>
      <c r="X27">
        <v>402.33</v>
      </c>
      <c r="Y27">
        <v>449.87</v>
      </c>
      <c r="AA27">
        <v>80</v>
      </c>
      <c r="AB27" s="7">
        <f t="shared" si="11"/>
        <v>1.2862321072247469</v>
      </c>
      <c r="AC27" s="7">
        <f t="shared" si="11"/>
        <v>1.1571426413147188</v>
      </c>
      <c r="AD27" s="7">
        <f t="shared" si="11"/>
        <v>1.1087274092272505</v>
      </c>
      <c r="AE27" s="7">
        <f t="shared" si="11"/>
        <v>1.0617683529872521</v>
      </c>
      <c r="AF27" s="7">
        <f t="shared" si="11"/>
        <v>1.0479375878150736</v>
      </c>
      <c r="AG27" s="7">
        <f t="shared" si="11"/>
        <v>1.0232651111656028</v>
      </c>
      <c r="AH27" s="7">
        <f t="shared" si="11"/>
        <v>0.9910398118244268</v>
      </c>
      <c r="AI27" s="7">
        <f t="shared" si="11"/>
        <v>1.0278242315563646</v>
      </c>
      <c r="AJ27" s="7">
        <f t="shared" si="11"/>
        <v>1.0188175573202178</v>
      </c>
      <c r="AK27" s="7">
        <f t="shared" si="12"/>
        <v>0.9893965295831475</v>
      </c>
      <c r="AM27">
        <v>80</v>
      </c>
      <c r="AN27" s="12">
        <f t="shared" si="14"/>
        <v>212.66822222222214</v>
      </c>
      <c r="AO27" s="5">
        <f t="shared" si="15"/>
        <v>253.30354444444453</v>
      </c>
      <c r="AP27" s="5">
        <f t="shared" si="16"/>
        <v>278.27002222222222</v>
      </c>
      <c r="AQ27" s="5">
        <f t="shared" si="17"/>
        <v>278.91416666666669</v>
      </c>
      <c r="AR27" s="5">
        <f t="shared" si="18"/>
        <v>286.74024444444433</v>
      </c>
      <c r="AS27" s="5">
        <f t="shared" si="19"/>
        <v>284.81760555555553</v>
      </c>
      <c r="AT27" s="5">
        <f t="shared" si="20"/>
        <v>273.64344166666672</v>
      </c>
      <c r="AU27" s="5">
        <f t="shared" si="21"/>
        <v>297.15765555555549</v>
      </c>
      <c r="AV27" s="5">
        <f t="shared" si="22"/>
        <v>295.0545222222222</v>
      </c>
      <c r="AW27" s="13">
        <f t="shared" si="23"/>
        <v>280.23096388888882</v>
      </c>
      <c r="AY27">
        <v>80</v>
      </c>
      <c r="AZ27" s="7">
        <f>AZ10/AN10-1</f>
        <v>9.3376718632371292E-2</v>
      </c>
      <c r="BA27" s="7">
        <f>BA10/AO10-1</f>
        <v>5.4980953909754549E-2</v>
      </c>
      <c r="BB27" s="7">
        <f>BB10/AP10-1</f>
        <v>5.8100489200171079E-2</v>
      </c>
      <c r="BC27" s="7">
        <f>BC10/AQ10-1</f>
        <v>4.347796199095022E-2</v>
      </c>
      <c r="BD27" s="7">
        <f>BD10/AR10-1</f>
        <v>2.931648304534229E-2</v>
      </c>
      <c r="BE27" s="7">
        <f>BE10/AS10-1</f>
        <v>2.4606307386597193E-2</v>
      </c>
      <c r="BF27" s="7">
        <f>BF10/AT10-1</f>
        <v>1.6412961227098455E-2</v>
      </c>
      <c r="BG27" s="7">
        <f>BG10/AU10-1</f>
        <v>1.4961637597606492E-2</v>
      </c>
      <c r="BH27" s="7">
        <f>BH10/AV10-1</f>
        <v>1.3524643202619036E-2</v>
      </c>
      <c r="BI27" s="7">
        <f>BI10/AW10-1</f>
        <v>8.0740042388918187E-3</v>
      </c>
    </row>
    <row r="28" spans="1:61" x14ac:dyDescent="0.3">
      <c r="A28" s="2">
        <v>90</v>
      </c>
      <c r="B28">
        <v>534.62</v>
      </c>
      <c r="C28">
        <v>490.66500000000002</v>
      </c>
      <c r="D28">
        <v>478.27</v>
      </c>
      <c r="E28">
        <v>463.51499999999999</v>
      </c>
      <c r="F28">
        <v>435.18</v>
      </c>
      <c r="G28">
        <v>444.23500000000001</v>
      </c>
      <c r="H28">
        <v>441.065</v>
      </c>
      <c r="I28">
        <v>422.69499999999999</v>
      </c>
      <c r="J28">
        <v>426.1</v>
      </c>
      <c r="K28">
        <v>429.55500000000001</v>
      </c>
      <c r="M28">
        <v>4565.9000000000005</v>
      </c>
      <c r="O28">
        <v>90</v>
      </c>
      <c r="P28">
        <v>534.62</v>
      </c>
      <c r="Q28">
        <v>490.66500000000002</v>
      </c>
      <c r="R28">
        <v>478.27</v>
      </c>
      <c r="S28">
        <v>463.51499999999999</v>
      </c>
      <c r="T28">
        <v>435.18</v>
      </c>
      <c r="U28">
        <v>444.23500000000001</v>
      </c>
      <c r="V28">
        <v>441.065</v>
      </c>
      <c r="W28">
        <v>422.69499999999999</v>
      </c>
      <c r="X28">
        <v>426.1</v>
      </c>
      <c r="Y28">
        <v>429.55500000000001</v>
      </c>
      <c r="AA28">
        <v>90</v>
      </c>
      <c r="AB28" s="7">
        <f t="shared" si="11"/>
        <v>1.2576025046689434</v>
      </c>
      <c r="AC28" s="7">
        <f t="shared" si="11"/>
        <v>1.133947259239976</v>
      </c>
      <c r="AD28" s="7">
        <f t="shared" si="11"/>
        <v>1.0504176191466783</v>
      </c>
      <c r="AE28" s="7">
        <f t="shared" si="11"/>
        <v>1.0361603443687366</v>
      </c>
      <c r="AF28" s="7">
        <f t="shared" si="11"/>
        <v>1.0193126338653273</v>
      </c>
      <c r="AG28" s="7">
        <f t="shared" si="11"/>
        <v>0.98467703228340664</v>
      </c>
      <c r="AH28" s="7">
        <f t="shared" si="11"/>
        <v>1.008208276145794</v>
      </c>
      <c r="AI28" s="7">
        <f t="shared" si="11"/>
        <v>0.98901185743190068</v>
      </c>
      <c r="AJ28" s="7">
        <f t="shared" si="11"/>
        <v>0.99760364357742737</v>
      </c>
      <c r="AK28" s="7">
        <f t="shared" si="12"/>
        <v>0.99886806442503129</v>
      </c>
      <c r="AM28">
        <v>90</v>
      </c>
      <c r="AN28" s="12">
        <f t="shared" si="14"/>
        <v>208.72458611111108</v>
      </c>
      <c r="AO28" s="5">
        <f t="shared" si="15"/>
        <v>251.34233055555555</v>
      </c>
      <c r="AP28" s="5">
        <f t="shared" si="16"/>
        <v>257.09008888888883</v>
      </c>
      <c r="AQ28" s="5">
        <f t="shared" si="17"/>
        <v>275.06929444444449</v>
      </c>
      <c r="AR28" s="5">
        <f t="shared" si="18"/>
        <v>280.79328888888887</v>
      </c>
      <c r="AS28" s="5">
        <f t="shared" si="19"/>
        <v>275.18740277777778</v>
      </c>
      <c r="AT28" s="5">
        <f t="shared" si="20"/>
        <v>290.39850000000001</v>
      </c>
      <c r="AU28" s="5">
        <f t="shared" si="21"/>
        <v>288.2339777777778</v>
      </c>
      <c r="AV28" s="5">
        <f t="shared" si="22"/>
        <v>294.29841388888883</v>
      </c>
      <c r="AW28" s="13">
        <f t="shared" si="23"/>
        <v>297.74610555555563</v>
      </c>
      <c r="AY28">
        <v>90</v>
      </c>
      <c r="AZ28" s="7">
        <f>AZ11/AN11-1</f>
        <v>0.12484993513618181</v>
      </c>
      <c r="BA28" s="7">
        <f>BA11/AO11-1</f>
        <v>8.6321752105787519E-2</v>
      </c>
      <c r="BB28" s="7">
        <f>BB11/AP11-1</f>
        <v>9.2443781739898423E-2</v>
      </c>
      <c r="BC28" s="7">
        <f>BC11/AQ11-1</f>
        <v>8.0687850673040407E-2</v>
      </c>
      <c r="BD28" s="7">
        <f>BD11/AR11-1</f>
        <v>6.1957003824614221E-2</v>
      </c>
      <c r="BE28" s="7">
        <f>BE11/AS11-1</f>
        <v>5.4400640086988084E-2</v>
      </c>
      <c r="BF28" s="7">
        <f>BF11/AT11-1</f>
        <v>4.5010027210884429E-2</v>
      </c>
      <c r="BG28" s="7">
        <f>BG11/AU11-1</f>
        <v>4.1175607818705773E-2</v>
      </c>
      <c r="BH28" s="7">
        <f>BH11/AV11-1</f>
        <v>4.1475746786940437E-2</v>
      </c>
      <c r="BI28" s="7">
        <f>BI11/AW11-1</f>
        <v>3.3058637287584514E-2</v>
      </c>
    </row>
    <row r="29" spans="1:61" ht="15" thickBot="1" x14ac:dyDescent="0.35">
      <c r="A29" s="2">
        <v>100</v>
      </c>
      <c r="B29">
        <v>527.41499999999996</v>
      </c>
      <c r="C29">
        <v>482.685</v>
      </c>
      <c r="D29">
        <v>440.13</v>
      </c>
      <c r="E29">
        <v>431.66500000000002</v>
      </c>
      <c r="F29">
        <v>443.76499999999999</v>
      </c>
      <c r="G29">
        <v>423.76</v>
      </c>
      <c r="H29">
        <v>409.94</v>
      </c>
      <c r="I29">
        <v>411.37</v>
      </c>
      <c r="J29">
        <v>423.90499999999997</v>
      </c>
      <c r="K29">
        <v>434.1</v>
      </c>
      <c r="M29">
        <v>4428.7350000000006</v>
      </c>
      <c r="O29">
        <v>100</v>
      </c>
      <c r="P29">
        <v>527.41499999999996</v>
      </c>
      <c r="Q29">
        <v>482.685</v>
      </c>
      <c r="R29">
        <v>440.13</v>
      </c>
      <c r="S29">
        <v>431.66500000000002</v>
      </c>
      <c r="T29">
        <v>443.76499999999999</v>
      </c>
      <c r="U29">
        <v>423.76</v>
      </c>
      <c r="V29">
        <v>409.94</v>
      </c>
      <c r="W29">
        <v>411.37</v>
      </c>
      <c r="X29">
        <v>423.90499999999997</v>
      </c>
      <c r="Y29">
        <v>434.1</v>
      </c>
      <c r="AA29">
        <v>100</v>
      </c>
      <c r="AB29" s="7">
        <f t="shared" ref="AB29:AJ29" si="24">AB12/$AK$12</f>
        <v>1.2353984378359342</v>
      </c>
      <c r="AC29" s="7">
        <f t="shared" si="24"/>
        <v>1.1107053911046596</v>
      </c>
      <c r="AD29" s="7">
        <f t="shared" si="24"/>
        <v>1.0523700336907722</v>
      </c>
      <c r="AE29" s="7">
        <f t="shared" si="24"/>
        <v>1.0200738431072209</v>
      </c>
      <c r="AF29" s="7">
        <f t="shared" si="24"/>
        <v>1.015432209958941</v>
      </c>
      <c r="AG29" s="7">
        <f t="shared" si="24"/>
        <v>0.97858503404522845</v>
      </c>
      <c r="AH29" s="7">
        <f t="shared" si="24"/>
        <v>0.96201275345071824</v>
      </c>
      <c r="AI29" s="7">
        <f t="shared" si="24"/>
        <v>0.9705348105053847</v>
      </c>
      <c r="AJ29" s="7">
        <f t="shared" si="24"/>
        <v>0.98416336131406768</v>
      </c>
      <c r="AK29" s="7">
        <f>AK12/$AK$12</f>
        <v>1</v>
      </c>
      <c r="AM29">
        <v>100</v>
      </c>
      <c r="AN29" s="14">
        <f t="shared" si="14"/>
        <v>202.68662222222224</v>
      </c>
      <c r="AO29" s="15">
        <f t="shared" si="15"/>
        <v>247.21911666666665</v>
      </c>
      <c r="AP29" s="15">
        <f t="shared" si="16"/>
        <v>261.81693611111115</v>
      </c>
      <c r="AQ29" s="15">
        <f t="shared" si="17"/>
        <v>273.40835555555549</v>
      </c>
      <c r="AR29" s="15">
        <f t="shared" si="18"/>
        <v>286.75538055555563</v>
      </c>
      <c r="AS29" s="15">
        <f t="shared" si="19"/>
        <v>276.40673055555567</v>
      </c>
      <c r="AT29" s="15">
        <f t="shared" si="20"/>
        <v>277.85078055555562</v>
      </c>
      <c r="AU29" s="15">
        <f t="shared" si="21"/>
        <v>285.83021388888898</v>
      </c>
      <c r="AV29" s="15">
        <f t="shared" si="22"/>
        <v>296.04861944444434</v>
      </c>
      <c r="AW29" s="16">
        <f t="shared" si="23"/>
        <v>303.82553611111115</v>
      </c>
      <c r="AY29">
        <v>100</v>
      </c>
      <c r="AZ29" s="7">
        <f>AZ12/AN12-1</f>
        <v>0.13569822070897963</v>
      </c>
      <c r="BA29" s="7">
        <f>BA12/AO12-1</f>
        <v>0.11489853736754063</v>
      </c>
      <c r="BB29" s="7">
        <f>BB12/AP12-1</f>
        <v>0.11900438482415487</v>
      </c>
      <c r="BC29" s="7">
        <f>BC12/AQ12-1</f>
        <v>0.11534506946247713</v>
      </c>
      <c r="BD29" s="7">
        <f>BD12/AR12-1</f>
        <v>9.845097152190907E-2</v>
      </c>
      <c r="BE29" s="7">
        <f>BE12/AS12-1</f>
        <v>8.7362291840290762E-2</v>
      </c>
      <c r="BF29" s="7">
        <f>BF12/AT12-1</f>
        <v>7.7446620289394419E-2</v>
      </c>
      <c r="BG29" s="7">
        <f>BG12/AU12-1</f>
        <v>7.1430560118265429E-2</v>
      </c>
      <c r="BH29" s="7">
        <f>BH12/AV12-1</f>
        <v>7.1599067488808288E-2</v>
      </c>
      <c r="BI29" s="7">
        <f>BI12/AW12-1</f>
        <v>6.248242921270708E-2</v>
      </c>
    </row>
    <row r="30" spans="1:61" x14ac:dyDescent="0.3">
      <c r="A30" s="2" t="s">
        <v>22</v>
      </c>
    </row>
    <row r="31" spans="1:61" x14ac:dyDescent="0.3">
      <c r="A31" s="2" t="s">
        <v>19</v>
      </c>
      <c r="B31">
        <v>6588.26</v>
      </c>
      <c r="C31">
        <v>6051.9250000000002</v>
      </c>
      <c r="D31">
        <v>5800.9999999999991</v>
      </c>
      <c r="E31">
        <v>5660.0650000000005</v>
      </c>
      <c r="F31">
        <v>5688.0850000000009</v>
      </c>
      <c r="G31">
        <v>5518.869999999999</v>
      </c>
      <c r="H31">
        <v>5479.0499999999993</v>
      </c>
      <c r="I31">
        <v>5500.7549999999992</v>
      </c>
      <c r="J31">
        <v>5460.4699999999993</v>
      </c>
      <c r="K31">
        <v>5536.9250000000002</v>
      </c>
      <c r="M31">
        <v>57285.404999999999</v>
      </c>
    </row>
    <row r="32" spans="1:61" x14ac:dyDescent="0.3">
      <c r="AB32" t="s">
        <v>43</v>
      </c>
    </row>
    <row r="33" spans="1:65" ht="15" thickBot="1" x14ac:dyDescent="0.35">
      <c r="A33">
        <v>4</v>
      </c>
      <c r="AN33" t="s">
        <v>42</v>
      </c>
      <c r="AZ33" t="s">
        <v>39</v>
      </c>
    </row>
    <row r="34" spans="1:65" ht="21.6" thickBot="1" x14ac:dyDescent="0.45">
      <c r="A34" s="1" t="s">
        <v>28</v>
      </c>
      <c r="B34" s="1" t="s">
        <v>20</v>
      </c>
      <c r="O34" t="s">
        <v>28</v>
      </c>
      <c r="P34" t="s">
        <v>20</v>
      </c>
      <c r="AA34" s="18"/>
      <c r="AB34" s="47" t="s">
        <v>33</v>
      </c>
      <c r="AC34" s="48"/>
      <c r="AD34" s="48"/>
      <c r="AE34" s="48"/>
      <c r="AF34" s="48"/>
      <c r="AG34" s="48"/>
      <c r="AH34" s="48"/>
      <c r="AI34" s="48"/>
      <c r="AJ34" s="48"/>
      <c r="AK34" s="49"/>
      <c r="AM34" s="18"/>
      <c r="AN34" s="47" t="s">
        <v>33</v>
      </c>
      <c r="AO34" s="48"/>
      <c r="AP34" s="48"/>
      <c r="AQ34" s="48"/>
      <c r="AR34" s="48"/>
      <c r="AS34" s="48"/>
      <c r="AT34" s="48"/>
      <c r="AU34" s="48"/>
      <c r="AV34" s="48"/>
      <c r="AW34" s="49"/>
      <c r="AZ34" s="18"/>
      <c r="BA34" s="53" t="s">
        <v>33</v>
      </c>
      <c r="BB34" s="54"/>
      <c r="BC34" s="54"/>
      <c r="BD34" s="54"/>
      <c r="BE34" s="54"/>
      <c r="BF34" s="54"/>
      <c r="BG34" s="54"/>
      <c r="BH34" s="54"/>
      <c r="BI34" s="54"/>
      <c r="BJ34" s="55"/>
    </row>
    <row r="35" spans="1:65" ht="21.6" thickBot="1" x14ac:dyDescent="0.45">
      <c r="A35" s="1" t="s">
        <v>18</v>
      </c>
      <c r="B35">
        <v>10</v>
      </c>
      <c r="C35">
        <v>20</v>
      </c>
      <c r="D35">
        <v>30</v>
      </c>
      <c r="E35">
        <v>40</v>
      </c>
      <c r="F35">
        <v>50</v>
      </c>
      <c r="G35">
        <v>60</v>
      </c>
      <c r="H35">
        <v>70</v>
      </c>
      <c r="I35">
        <v>80</v>
      </c>
      <c r="J35">
        <v>90</v>
      </c>
      <c r="K35">
        <v>100</v>
      </c>
      <c r="L35" t="s">
        <v>22</v>
      </c>
      <c r="M35" t="s">
        <v>19</v>
      </c>
      <c r="O35" t="s">
        <v>18</v>
      </c>
      <c r="P35">
        <v>10</v>
      </c>
      <c r="Q35">
        <v>20</v>
      </c>
      <c r="R35">
        <v>30</v>
      </c>
      <c r="S35">
        <v>40</v>
      </c>
      <c r="T35">
        <v>50</v>
      </c>
      <c r="U35">
        <v>60</v>
      </c>
      <c r="V35">
        <v>70</v>
      </c>
      <c r="W35">
        <v>80</v>
      </c>
      <c r="X35">
        <v>90</v>
      </c>
      <c r="Y35">
        <v>100</v>
      </c>
      <c r="AA35" s="19" t="s">
        <v>16</v>
      </c>
      <c r="AB35" s="20">
        <v>10</v>
      </c>
      <c r="AC35" s="20">
        <v>20</v>
      </c>
      <c r="AD35" s="20">
        <v>30</v>
      </c>
      <c r="AE35" s="20">
        <v>40</v>
      </c>
      <c r="AF35" s="20">
        <v>50</v>
      </c>
      <c r="AG35" s="20">
        <v>60</v>
      </c>
      <c r="AH35" s="20">
        <v>70</v>
      </c>
      <c r="AI35" s="20">
        <v>80</v>
      </c>
      <c r="AJ35" s="20">
        <v>90</v>
      </c>
      <c r="AK35" s="21">
        <v>100</v>
      </c>
      <c r="AM35" s="19" t="s">
        <v>16</v>
      </c>
      <c r="AN35" s="20">
        <v>10</v>
      </c>
      <c r="AO35" s="20">
        <v>20</v>
      </c>
      <c r="AP35" s="20">
        <v>30</v>
      </c>
      <c r="AQ35" s="20">
        <v>40</v>
      </c>
      <c r="AR35" s="20">
        <v>50</v>
      </c>
      <c r="AS35" s="20">
        <v>60</v>
      </c>
      <c r="AT35" s="20">
        <v>70</v>
      </c>
      <c r="AU35" s="20">
        <v>80</v>
      </c>
      <c r="AV35" s="20">
        <v>90</v>
      </c>
      <c r="AW35" s="21">
        <v>100</v>
      </c>
      <c r="AZ35" s="19" t="s">
        <v>16</v>
      </c>
      <c r="BA35" s="20">
        <v>10</v>
      </c>
      <c r="BB35" s="20">
        <v>20</v>
      </c>
      <c r="BC35" s="20">
        <v>30</v>
      </c>
      <c r="BD35" s="20">
        <v>40</v>
      </c>
      <c r="BE35" s="20">
        <v>50</v>
      </c>
      <c r="BF35" s="20">
        <v>60</v>
      </c>
      <c r="BG35" s="20">
        <v>70</v>
      </c>
      <c r="BH35" s="20">
        <v>80</v>
      </c>
      <c r="BI35" s="20">
        <v>90</v>
      </c>
      <c r="BJ35" s="21">
        <v>100</v>
      </c>
      <c r="BM35" s="5"/>
    </row>
    <row r="36" spans="1:65" ht="21" x14ac:dyDescent="0.4">
      <c r="A36" s="2">
        <v>10</v>
      </c>
      <c r="B36">
        <v>1094.71</v>
      </c>
      <c r="C36">
        <v>1078.0150000000001</v>
      </c>
      <c r="D36">
        <v>1065.905</v>
      </c>
      <c r="E36">
        <v>1055.7650000000001</v>
      </c>
      <c r="F36">
        <v>1054.9349999999999</v>
      </c>
      <c r="G36">
        <v>1057.45</v>
      </c>
      <c r="H36">
        <v>1044.2149999999999</v>
      </c>
      <c r="I36">
        <v>1054.8499999999999</v>
      </c>
      <c r="J36">
        <v>1048.2049999999999</v>
      </c>
      <c r="K36">
        <v>1044.29</v>
      </c>
      <c r="M36">
        <v>10598.34</v>
      </c>
      <c r="O36">
        <v>10</v>
      </c>
      <c r="P36">
        <v>1094.71</v>
      </c>
      <c r="Q36">
        <v>1078.0150000000001</v>
      </c>
      <c r="R36">
        <v>1065.905</v>
      </c>
      <c r="S36">
        <v>1055.7650000000001</v>
      </c>
      <c r="T36">
        <v>1054.9349999999999</v>
      </c>
      <c r="U36">
        <v>1057.45</v>
      </c>
      <c r="V36">
        <v>1044.2149999999999</v>
      </c>
      <c r="W36">
        <v>1054.8499999999999</v>
      </c>
      <c r="X36">
        <v>1048.2049999999999</v>
      </c>
      <c r="Y36">
        <v>1044.29</v>
      </c>
      <c r="AA36" s="22">
        <v>10</v>
      </c>
      <c r="AB36" s="23">
        <f>(SUM(P4,P20,P36,P52,P68,P84,P100,P116,P132,P148)-MAX(P4,P20,P36,P52,P68,P84,P100,P116,P132,P148)-MIN(P4,P20,P36,P52,P68,P84,P100,P116,P132,P148))/8</f>
        <v>1103.4587499999998</v>
      </c>
      <c r="AC36" s="24">
        <f t="shared" ref="AC36:AK36" si="25">(SUM(Q4,Q20,Q36,Q52,Q68,Q84,Q100,Q116,Q132,Q148)-MAX(Q4,Q20,Q36,Q52,Q68,Q84,Q100,Q116,Q132,Q148)-MIN(Q4,Q20,Q36,Q52,Q68,Q84,Q100,Q116,Q132,Q148))/8</f>
        <v>1076.140625</v>
      </c>
      <c r="AD36" s="24">
        <f t="shared" si="25"/>
        <v>1065.1012500000002</v>
      </c>
      <c r="AE36" s="24">
        <f t="shared" si="25"/>
        <v>1060.9006249999998</v>
      </c>
      <c r="AF36" s="24">
        <f t="shared" si="25"/>
        <v>1059.8625</v>
      </c>
      <c r="AG36" s="24">
        <f t="shared" si="25"/>
        <v>1054.7262499999999</v>
      </c>
      <c r="AH36" s="24">
        <f t="shared" si="25"/>
        <v>1055.1912500000001</v>
      </c>
      <c r="AI36" s="24">
        <f t="shared" si="25"/>
        <v>1059.085</v>
      </c>
      <c r="AJ36" s="24">
        <f t="shared" si="25"/>
        <v>1056.5050000000001</v>
      </c>
      <c r="AK36" s="25">
        <f t="shared" si="25"/>
        <v>1057.81125</v>
      </c>
      <c r="AM36" s="22">
        <v>10</v>
      </c>
      <c r="AN36" s="23">
        <v>176.55037222222222</v>
      </c>
      <c r="AO36" s="24">
        <v>196.95813611111112</v>
      </c>
      <c r="AP36" s="24">
        <v>202.13380555555557</v>
      </c>
      <c r="AQ36" s="24">
        <v>206.05673611111081</v>
      </c>
      <c r="AR36" s="24">
        <v>209.58276666666677</v>
      </c>
      <c r="AS36" s="24">
        <v>207.94178333333343</v>
      </c>
      <c r="AT36" s="24">
        <v>210.49111666666658</v>
      </c>
      <c r="AU36" s="24">
        <v>215.61408888888889</v>
      </c>
      <c r="AV36" s="24">
        <v>214.17780000000005</v>
      </c>
      <c r="AW36" s="25">
        <v>216.37122777777768</v>
      </c>
      <c r="AZ36" s="22">
        <v>10</v>
      </c>
      <c r="BA36" s="34">
        <v>9.6352222222222199</v>
      </c>
      <c r="BB36" s="35">
        <v>9.1391111111111112</v>
      </c>
      <c r="BC36" s="35">
        <v>8.9705555555555563</v>
      </c>
      <c r="BD36" s="35">
        <v>8.8861111111111111</v>
      </c>
      <c r="BE36" s="35">
        <v>8.8386666666666649</v>
      </c>
      <c r="BF36" s="35">
        <v>8.8023333333333316</v>
      </c>
      <c r="BG36" s="35">
        <v>8.7806666666666686</v>
      </c>
      <c r="BH36" s="35">
        <v>8.7678888888888888</v>
      </c>
      <c r="BI36" s="35">
        <v>8.7560000000000002</v>
      </c>
      <c r="BJ36" s="36">
        <v>8.746777777777778</v>
      </c>
      <c r="BL36" s="5"/>
      <c r="BM36" s="5"/>
    </row>
    <row r="37" spans="1:65" ht="21" x14ac:dyDescent="0.4">
      <c r="A37" s="2">
        <v>20</v>
      </c>
      <c r="B37">
        <v>748.17499999999995</v>
      </c>
      <c r="C37">
        <v>711.37</v>
      </c>
      <c r="D37">
        <v>677.495</v>
      </c>
      <c r="E37">
        <v>682.85500000000002</v>
      </c>
      <c r="F37">
        <v>674.18499999999995</v>
      </c>
      <c r="G37">
        <v>671.78</v>
      </c>
      <c r="H37">
        <v>673.27499999999998</v>
      </c>
      <c r="I37">
        <v>674.68</v>
      </c>
      <c r="J37">
        <v>675.51</v>
      </c>
      <c r="K37">
        <v>660.77499999999998</v>
      </c>
      <c r="M37">
        <v>6850.0999999999995</v>
      </c>
      <c r="O37">
        <v>20</v>
      </c>
      <c r="P37">
        <v>748.17499999999995</v>
      </c>
      <c r="Q37">
        <v>711.37</v>
      </c>
      <c r="R37">
        <v>677.495</v>
      </c>
      <c r="S37">
        <v>682.85500000000002</v>
      </c>
      <c r="T37">
        <v>674.18499999999995</v>
      </c>
      <c r="U37">
        <v>671.78</v>
      </c>
      <c r="V37">
        <v>673.27499999999998</v>
      </c>
      <c r="W37">
        <v>674.68</v>
      </c>
      <c r="X37">
        <v>675.51</v>
      </c>
      <c r="Y37">
        <v>660.77499999999998</v>
      </c>
      <c r="AA37" s="22">
        <v>20</v>
      </c>
      <c r="AB37" s="26">
        <f t="shared" ref="AB37:AB45" si="26">(SUM(P5,P21,P37,P53,P69,P85,P101,P117,P133,P149)-MAX(P5,P21,P37,P53,P69,P85,P101,P117,P133,P149)-MIN(P5,P21,P37,P53,P69,P85,P101,P117,P133,P149))/8</f>
        <v>753.47562500000004</v>
      </c>
      <c r="AC37" s="27">
        <f t="shared" ref="AC37:AC45" si="27">(SUM(Q5,Q21,Q37,Q53,Q69,Q85,Q101,Q117,Q133,Q149)-MAX(Q5,Q21,Q37,Q53,Q69,Q85,Q101,Q117,Q133,Q149)-MIN(Q5,Q21,Q37,Q53,Q69,Q85,Q101,Q117,Q133,Q149))/8</f>
        <v>704.71375000000012</v>
      </c>
      <c r="AD37" s="27">
        <f t="shared" ref="AD37:AD45" si="28">(SUM(R5,R21,R37,R53,R69,R85,R101,R117,R133,R149)-MAX(R5,R21,R37,R53,R69,R85,R101,R117,R133,R149)-MIN(R5,R21,R37,R53,R69,R85,R101,R117,R133,R149))/8</f>
        <v>682.06562500000007</v>
      </c>
      <c r="AE37" s="27">
        <f t="shared" ref="AE37:AE45" si="29">(SUM(S5,S21,S37,S53,S69,S85,S101,S117,S133,S149)-MAX(S5,S21,S37,S53,S69,S85,S101,S117,S133,S149)-MIN(S5,S21,S37,S53,S69,S85,S101,S117,S133,S149))/8</f>
        <v>679.59375</v>
      </c>
      <c r="AF37" s="27">
        <f t="shared" ref="AF37:AF45" si="30">(SUM(T5,T21,T37,T53,T69,T85,T101,T117,T133,T149)-MAX(T5,T21,T37,T53,T69,T85,T101,T117,T133,T149)-MIN(T5,T21,T37,T53,T69,T85,T101,T117,T133,T149))/8</f>
        <v>675.35500000000002</v>
      </c>
      <c r="AG37" s="27">
        <f t="shared" ref="AG37:AG45" si="31">(SUM(U5,U21,U37,U53,U69,U85,U101,U117,U133,U149)-MAX(U5,U21,U37,U53,U69,U85,U101,U117,U133,U149)-MIN(U5,U21,U37,U53,U69,U85,U101,U117,U133,U149))/8</f>
        <v>669.30062500000008</v>
      </c>
      <c r="AH37" s="27">
        <f t="shared" ref="AH37:AH45" si="32">(SUM(V5,V21,V37,V53,V69,V85,V101,V117,V133,V149)-MAX(V5,V21,V37,V53,V69,V85,V101,V117,V133,V149)-MIN(V5,V21,V37,V53,V69,V85,V101,V117,V133,V149))/8</f>
        <v>668.84500000000003</v>
      </c>
      <c r="AI37" s="27">
        <f t="shared" ref="AI37:AI45" si="33">(SUM(W5,W21,W37,W53,W69,W85,W101,W117,W133,W149)-MAX(W5,W21,W37,W53,W69,W85,W101,W117,W133,W149)-MIN(W5,W21,W37,W53,W69,W85,W101,W117,W133,W149))/8</f>
        <v>667.41125</v>
      </c>
      <c r="AJ37" s="27">
        <f t="shared" ref="AJ37:AJ45" si="34">(SUM(X5,X21,X37,X53,X69,X85,X101,X117,X133,X149)-MAX(X5,X21,X37,X53,X69,X85,X101,X117,X133,X149)-MIN(X5,X21,X37,X53,X69,X85,X101,X117,X133,X149))/8</f>
        <v>667.44312500000001</v>
      </c>
      <c r="AK37" s="28">
        <f t="shared" ref="AK37:AK45" si="35">(SUM(Y5,Y21,Y37,Y53,Y69,Y85,Y101,Y117,Y133,Y149)-MAX(Y5,Y21,Y37,Y53,Y69,Y85,Y101,Y117,Y133,Y149)-MIN(Y5,Y21,Y37,Y53,Y69,Y85,Y101,Y117,Y133,Y149))/8</f>
        <v>661.82937500000003</v>
      </c>
      <c r="AM37" s="22">
        <v>20</v>
      </c>
      <c r="AN37" s="26">
        <v>199.10709166666663</v>
      </c>
      <c r="AO37" s="27">
        <v>218.09139444444463</v>
      </c>
      <c r="AP37" s="27">
        <v>218.08233611111115</v>
      </c>
      <c r="AQ37" s="27">
        <v>226.87654999999995</v>
      </c>
      <c r="AR37" s="27">
        <v>229.5428222222223</v>
      </c>
      <c r="AS37" s="27">
        <v>227.38989166666676</v>
      </c>
      <c r="AT37" s="27">
        <v>229.93784444444452</v>
      </c>
      <c r="AU37" s="27">
        <v>230.5136055555555</v>
      </c>
      <c r="AV37" s="27">
        <v>231.69988055555547</v>
      </c>
      <c r="AW37" s="28">
        <v>227.27259722222232</v>
      </c>
      <c r="AZ37" s="22">
        <v>20</v>
      </c>
      <c r="BA37" s="37">
        <v>5.762666666666667</v>
      </c>
      <c r="BB37" s="38">
        <v>5.0584444444444436</v>
      </c>
      <c r="BC37" s="38">
        <v>4.8231111111111113</v>
      </c>
      <c r="BD37" s="38">
        <v>4.7060000000000004</v>
      </c>
      <c r="BE37" s="38">
        <v>4.6342222222222214</v>
      </c>
      <c r="BF37" s="38">
        <v>4.5936666666666666</v>
      </c>
      <c r="BG37" s="38">
        <v>4.5624444444444441</v>
      </c>
      <c r="BH37" s="38">
        <v>4.541555555555556</v>
      </c>
      <c r="BI37" s="38">
        <v>4.5295555555555564</v>
      </c>
      <c r="BJ37" s="39">
        <v>4.5172222222222214</v>
      </c>
      <c r="BL37" s="5"/>
      <c r="BM37" s="5"/>
    </row>
    <row r="38" spans="1:65" ht="21" x14ac:dyDescent="0.4">
      <c r="A38" s="2">
        <v>30</v>
      </c>
      <c r="B38">
        <v>656.1</v>
      </c>
      <c r="C38">
        <v>592.29999999999995</v>
      </c>
      <c r="D38">
        <v>581.84500000000003</v>
      </c>
      <c r="E38">
        <v>565.29</v>
      </c>
      <c r="F38">
        <v>543.79499999999996</v>
      </c>
      <c r="G38">
        <v>553.56500000000005</v>
      </c>
      <c r="H38">
        <v>554.39499999999998</v>
      </c>
      <c r="I38">
        <v>542.51499999999999</v>
      </c>
      <c r="J38">
        <v>534.48500000000001</v>
      </c>
      <c r="K38">
        <v>550.61500000000001</v>
      </c>
      <c r="M38">
        <v>5674.9049999999997</v>
      </c>
      <c r="O38">
        <v>30</v>
      </c>
      <c r="P38">
        <v>656.1</v>
      </c>
      <c r="Q38">
        <v>592.29999999999995</v>
      </c>
      <c r="R38">
        <v>581.84500000000003</v>
      </c>
      <c r="S38">
        <v>565.29</v>
      </c>
      <c r="T38">
        <v>543.79499999999996</v>
      </c>
      <c r="U38">
        <v>553.56500000000005</v>
      </c>
      <c r="V38">
        <v>554.39499999999998</v>
      </c>
      <c r="W38">
        <v>542.51499999999999</v>
      </c>
      <c r="X38">
        <v>534.48500000000001</v>
      </c>
      <c r="Y38">
        <v>550.61500000000001</v>
      </c>
      <c r="AA38" s="22">
        <v>30</v>
      </c>
      <c r="AB38" s="26">
        <f t="shared" si="26"/>
        <v>654.62999999999988</v>
      </c>
      <c r="AC38" s="27">
        <f t="shared" si="27"/>
        <v>595.52312500000005</v>
      </c>
      <c r="AD38" s="27">
        <f t="shared" si="28"/>
        <v>573.32062499999984</v>
      </c>
      <c r="AE38" s="27">
        <f t="shared" si="29"/>
        <v>562.45500000000004</v>
      </c>
      <c r="AF38" s="27">
        <f t="shared" si="30"/>
        <v>557.76187500000003</v>
      </c>
      <c r="AG38" s="27">
        <f t="shared" si="31"/>
        <v>551.47125000000005</v>
      </c>
      <c r="AH38" s="27">
        <f t="shared" si="32"/>
        <v>552.10062500000004</v>
      </c>
      <c r="AI38" s="27">
        <f t="shared" si="33"/>
        <v>549.55437499999982</v>
      </c>
      <c r="AJ38" s="27">
        <f t="shared" si="34"/>
        <v>549.04687499999977</v>
      </c>
      <c r="AK38" s="28">
        <f t="shared" si="35"/>
        <v>547.38687500000003</v>
      </c>
      <c r="AM38" s="22">
        <v>30</v>
      </c>
      <c r="AN38" s="26">
        <v>207.28931111111098</v>
      </c>
      <c r="AO38" s="27">
        <v>231.2992361111111</v>
      </c>
      <c r="AP38" s="27">
        <v>236.79164722222202</v>
      </c>
      <c r="AQ38" s="27">
        <v>239.72537777777779</v>
      </c>
      <c r="AR38" s="27">
        <v>243.03823055555557</v>
      </c>
      <c r="AS38" s="27">
        <v>241.5896722222223</v>
      </c>
      <c r="AT38" s="27">
        <v>245.77844722222221</v>
      </c>
      <c r="AU38" s="27">
        <v>245.53030833333315</v>
      </c>
      <c r="AV38" s="27">
        <v>246.75440833333312</v>
      </c>
      <c r="AW38" s="28">
        <v>246.27018611111117</v>
      </c>
      <c r="AZ38" s="22">
        <v>30</v>
      </c>
      <c r="BA38" s="37">
        <v>4.6501111111111113</v>
      </c>
      <c r="BB38" s="38">
        <v>3.7861111111111114</v>
      </c>
      <c r="BC38" s="38">
        <v>3.4982222222222226</v>
      </c>
      <c r="BD38" s="38">
        <v>3.3547777777777781</v>
      </c>
      <c r="BE38" s="38">
        <v>3.2715555555555556</v>
      </c>
      <c r="BF38" s="38">
        <v>3.221222222222222</v>
      </c>
      <c r="BG38" s="38">
        <v>3.1842222222222225</v>
      </c>
      <c r="BH38" s="38">
        <v>3.1603333333333334</v>
      </c>
      <c r="BI38" s="38">
        <v>3.1423333333333332</v>
      </c>
      <c r="BJ38" s="39">
        <v>3.1301111111111108</v>
      </c>
      <c r="BL38" s="5"/>
    </row>
    <row r="39" spans="1:65" ht="21" x14ac:dyDescent="0.4">
      <c r="A39" s="2">
        <v>40</v>
      </c>
      <c r="B39">
        <v>617.88499999999999</v>
      </c>
      <c r="C39">
        <v>545.755</v>
      </c>
      <c r="D39">
        <v>530.98500000000001</v>
      </c>
      <c r="E39">
        <v>518.30499999999995</v>
      </c>
      <c r="F39">
        <v>505.64</v>
      </c>
      <c r="G39">
        <v>498.86</v>
      </c>
      <c r="H39">
        <v>502.38499999999999</v>
      </c>
      <c r="I39">
        <v>520.63</v>
      </c>
      <c r="J39">
        <v>510.75</v>
      </c>
      <c r="K39">
        <v>498.86</v>
      </c>
      <c r="M39">
        <v>5250.0549999999994</v>
      </c>
      <c r="O39">
        <v>40</v>
      </c>
      <c r="P39">
        <v>617.88499999999999</v>
      </c>
      <c r="Q39">
        <v>545.755</v>
      </c>
      <c r="R39">
        <v>530.98500000000001</v>
      </c>
      <c r="S39">
        <v>518.30499999999995</v>
      </c>
      <c r="T39">
        <v>505.64</v>
      </c>
      <c r="U39">
        <v>498.86</v>
      </c>
      <c r="V39">
        <v>502.38499999999999</v>
      </c>
      <c r="W39">
        <v>520.63</v>
      </c>
      <c r="X39">
        <v>510.75</v>
      </c>
      <c r="Y39">
        <v>498.86</v>
      </c>
      <c r="AA39" s="22">
        <v>40</v>
      </c>
      <c r="AB39" s="26">
        <f t="shared" si="26"/>
        <v>621.1</v>
      </c>
      <c r="AC39" s="27">
        <f t="shared" si="27"/>
        <v>552.78687500000012</v>
      </c>
      <c r="AD39" s="27">
        <f t="shared" si="28"/>
        <v>527.28624999999988</v>
      </c>
      <c r="AE39" s="27">
        <f t="shared" si="29"/>
        <v>516.18687499999987</v>
      </c>
      <c r="AF39" s="27">
        <f t="shared" si="30"/>
        <v>503.73437500000006</v>
      </c>
      <c r="AG39" s="27">
        <f t="shared" si="31"/>
        <v>495.39874999999995</v>
      </c>
      <c r="AH39" s="27">
        <f t="shared" si="32"/>
        <v>495.59812499999987</v>
      </c>
      <c r="AI39" s="27">
        <f t="shared" si="33"/>
        <v>514.5143750000002</v>
      </c>
      <c r="AJ39" s="27">
        <f t="shared" si="34"/>
        <v>500.22562500000004</v>
      </c>
      <c r="AK39" s="28">
        <f t="shared" si="35"/>
        <v>496.02750000000003</v>
      </c>
      <c r="AM39" s="22">
        <v>40</v>
      </c>
      <c r="AN39" s="26">
        <v>216.45073333333335</v>
      </c>
      <c r="AO39" s="27">
        <v>244.26278611111127</v>
      </c>
      <c r="AP39" s="27">
        <v>250.56160555555545</v>
      </c>
      <c r="AQ39" s="27">
        <v>255.79485277777763</v>
      </c>
      <c r="AR39" s="27">
        <v>252.47066388888896</v>
      </c>
      <c r="AS39" s="27">
        <v>249.96048333333326</v>
      </c>
      <c r="AT39" s="27">
        <v>254.16819166666656</v>
      </c>
      <c r="AU39" s="27">
        <v>275.55357500000019</v>
      </c>
      <c r="AV39" s="27">
        <v>263.16744722222222</v>
      </c>
      <c r="AW39" s="28">
        <v>260.69023333333337</v>
      </c>
      <c r="AZ39" s="22">
        <v>40</v>
      </c>
      <c r="BA39" s="37">
        <v>4.2063333333333333</v>
      </c>
      <c r="BB39" s="38">
        <v>3.2071111111111108</v>
      </c>
      <c r="BC39" s="38">
        <v>2.8765555555555555</v>
      </c>
      <c r="BD39" s="38">
        <v>2.7067777777777779</v>
      </c>
      <c r="BE39" s="38">
        <v>2.6118888888888887</v>
      </c>
      <c r="BF39" s="38">
        <v>2.5513333333333335</v>
      </c>
      <c r="BG39" s="38">
        <v>2.5096666666666665</v>
      </c>
      <c r="BH39" s="38">
        <v>2.484</v>
      </c>
      <c r="BI39" s="38">
        <v>2.4642222222222223</v>
      </c>
      <c r="BJ39" s="39">
        <v>2.446333333333333</v>
      </c>
      <c r="BL39" s="5"/>
    </row>
    <row r="40" spans="1:65" ht="21" x14ac:dyDescent="0.4">
      <c r="A40" s="2">
        <v>50</v>
      </c>
      <c r="B40">
        <v>606.99</v>
      </c>
      <c r="C40">
        <v>531.28</v>
      </c>
      <c r="D40">
        <v>522.35</v>
      </c>
      <c r="E40">
        <v>510.98</v>
      </c>
      <c r="F40">
        <v>490.22</v>
      </c>
      <c r="G40">
        <v>479.89</v>
      </c>
      <c r="H40">
        <v>483.35500000000002</v>
      </c>
      <c r="I40">
        <v>485.505</v>
      </c>
      <c r="J40">
        <v>470.69</v>
      </c>
      <c r="K40">
        <v>477.11500000000001</v>
      </c>
      <c r="M40">
        <v>5058.3749999999991</v>
      </c>
      <c r="O40">
        <v>50</v>
      </c>
      <c r="P40">
        <v>606.99</v>
      </c>
      <c r="Q40">
        <v>531.28</v>
      </c>
      <c r="R40">
        <v>522.35</v>
      </c>
      <c r="S40">
        <v>510.98</v>
      </c>
      <c r="T40">
        <v>490.22</v>
      </c>
      <c r="U40">
        <v>479.89</v>
      </c>
      <c r="V40">
        <v>483.35500000000002</v>
      </c>
      <c r="W40">
        <v>485.505</v>
      </c>
      <c r="X40">
        <v>470.69</v>
      </c>
      <c r="Y40">
        <v>477.11500000000001</v>
      </c>
      <c r="AA40" s="22">
        <v>50</v>
      </c>
      <c r="AB40" s="26">
        <f t="shared" si="26"/>
        <v>603.66875000000005</v>
      </c>
      <c r="AC40" s="27">
        <f t="shared" si="27"/>
        <v>535.23874999999998</v>
      </c>
      <c r="AD40" s="27">
        <f t="shared" si="28"/>
        <v>512.46</v>
      </c>
      <c r="AE40" s="27">
        <f t="shared" si="29"/>
        <v>506.64062499999989</v>
      </c>
      <c r="AF40" s="27">
        <f t="shared" si="30"/>
        <v>496.76500000000004</v>
      </c>
      <c r="AG40" s="27">
        <f t="shared" si="31"/>
        <v>491.20625000000001</v>
      </c>
      <c r="AH40" s="27">
        <f t="shared" si="32"/>
        <v>486.51687499999997</v>
      </c>
      <c r="AI40" s="27">
        <f t="shared" si="33"/>
        <v>481.80312499999997</v>
      </c>
      <c r="AJ40" s="27">
        <f t="shared" si="34"/>
        <v>482.2168749999999</v>
      </c>
      <c r="AK40" s="28">
        <f t="shared" si="35"/>
        <v>478.9837500000001</v>
      </c>
      <c r="AM40" s="22">
        <v>50</v>
      </c>
      <c r="AN40" s="26">
        <v>221.03859444444453</v>
      </c>
      <c r="AO40" s="27">
        <v>256.78250555555553</v>
      </c>
      <c r="AP40" s="27">
        <v>269.69395555555559</v>
      </c>
      <c r="AQ40" s="27">
        <v>281.68226944444427</v>
      </c>
      <c r="AR40" s="27">
        <v>282.02522222222228</v>
      </c>
      <c r="AS40" s="27">
        <v>282.86911666666668</v>
      </c>
      <c r="AT40" s="27">
        <v>282.7866527777777</v>
      </c>
      <c r="AU40" s="27">
        <v>280.99096944444443</v>
      </c>
      <c r="AV40" s="27">
        <v>283.64938611111103</v>
      </c>
      <c r="AW40" s="28">
        <v>282.27612777777779</v>
      </c>
      <c r="AZ40" s="22">
        <v>50</v>
      </c>
      <c r="BA40" s="37">
        <v>3.9774444444444441</v>
      </c>
      <c r="BB40" s="38">
        <v>2.8945555555555553</v>
      </c>
      <c r="BC40" s="38">
        <v>2.5235555555555553</v>
      </c>
      <c r="BD40" s="38">
        <v>2.3384444444444448</v>
      </c>
      <c r="BE40" s="38">
        <v>2.2322222222222221</v>
      </c>
      <c r="BF40" s="38">
        <v>2.1656666666666666</v>
      </c>
      <c r="BG40" s="38">
        <v>2.117777777777778</v>
      </c>
      <c r="BH40" s="38">
        <v>2.0874444444444444</v>
      </c>
      <c r="BI40" s="38">
        <v>2.064111111111111</v>
      </c>
      <c r="BJ40" s="39">
        <v>2.0447777777777785</v>
      </c>
      <c r="BL40" s="5"/>
    </row>
    <row r="41" spans="1:65" ht="21" x14ac:dyDescent="0.4">
      <c r="A41" s="2">
        <v>60</v>
      </c>
      <c r="B41">
        <v>582.88499999999999</v>
      </c>
      <c r="C41">
        <v>520.67499999999995</v>
      </c>
      <c r="D41">
        <v>506</v>
      </c>
      <c r="E41">
        <v>491.685</v>
      </c>
      <c r="F41">
        <v>462.27499999999998</v>
      </c>
      <c r="G41">
        <v>470.48500000000001</v>
      </c>
      <c r="H41">
        <v>466.14499999999998</v>
      </c>
      <c r="I41">
        <v>455.63499999999999</v>
      </c>
      <c r="J41">
        <v>429.71</v>
      </c>
      <c r="K41">
        <v>433.5</v>
      </c>
      <c r="M41">
        <v>4818.9949999999999</v>
      </c>
      <c r="O41">
        <v>60</v>
      </c>
      <c r="P41">
        <v>582.88499999999999</v>
      </c>
      <c r="Q41">
        <v>520.67499999999995</v>
      </c>
      <c r="R41">
        <v>506</v>
      </c>
      <c r="S41">
        <v>491.685</v>
      </c>
      <c r="T41">
        <v>462.27499999999998</v>
      </c>
      <c r="U41">
        <v>470.48500000000001</v>
      </c>
      <c r="V41">
        <v>466.14499999999998</v>
      </c>
      <c r="W41">
        <v>455.63499999999999</v>
      </c>
      <c r="X41">
        <v>429.71</v>
      </c>
      <c r="Y41">
        <v>433.5</v>
      </c>
      <c r="AA41" s="22">
        <v>60</v>
      </c>
      <c r="AB41" s="26">
        <f t="shared" si="26"/>
        <v>595.63124999999991</v>
      </c>
      <c r="AC41" s="27">
        <f t="shared" si="27"/>
        <v>532.30687499999999</v>
      </c>
      <c r="AD41" s="27">
        <f t="shared" si="28"/>
        <v>508.39812499999999</v>
      </c>
      <c r="AE41" s="27">
        <f t="shared" si="29"/>
        <v>493.42062499999997</v>
      </c>
      <c r="AF41" s="27">
        <f t="shared" si="30"/>
        <v>477.16437500000001</v>
      </c>
      <c r="AG41" s="27">
        <f t="shared" si="31"/>
        <v>473.85874999999999</v>
      </c>
      <c r="AH41" s="27">
        <f t="shared" si="32"/>
        <v>461.66437499999989</v>
      </c>
      <c r="AI41" s="27">
        <f t="shared" si="33"/>
        <v>459.05312499999991</v>
      </c>
      <c r="AJ41" s="27">
        <f t="shared" si="34"/>
        <v>458.50062500000001</v>
      </c>
      <c r="AK41" s="28">
        <f t="shared" si="35"/>
        <v>457.93812500000001</v>
      </c>
      <c r="AM41" s="22">
        <v>60</v>
      </c>
      <c r="AN41" s="26">
        <v>229.91091666666654</v>
      </c>
      <c r="AO41" s="27">
        <v>270.85665277777775</v>
      </c>
      <c r="AP41" s="27">
        <v>286.13336944444444</v>
      </c>
      <c r="AQ41" s="27">
        <v>290.8020472222222</v>
      </c>
      <c r="AR41" s="27">
        <v>285.7156861111111</v>
      </c>
      <c r="AS41" s="27">
        <v>289.62506111111111</v>
      </c>
      <c r="AT41" s="27">
        <v>282.24068611111102</v>
      </c>
      <c r="AU41" s="27">
        <v>283.04988055555543</v>
      </c>
      <c r="AV41" s="27">
        <v>284.98789166666666</v>
      </c>
      <c r="AW41" s="28">
        <v>286.33870277777783</v>
      </c>
      <c r="AZ41" s="22">
        <v>60</v>
      </c>
      <c r="BA41" s="37">
        <v>3.8016666666666672</v>
      </c>
      <c r="BB41" s="38">
        <v>2.7177777777777776</v>
      </c>
      <c r="BC41" s="38">
        <v>2.3104444444444443</v>
      </c>
      <c r="BD41" s="38">
        <v>2.1062222222222222</v>
      </c>
      <c r="BE41" s="38">
        <v>1.9901111111111112</v>
      </c>
      <c r="BF41" s="38">
        <v>1.9151111111111108</v>
      </c>
      <c r="BG41" s="38">
        <v>1.8651111111111112</v>
      </c>
      <c r="BH41" s="38">
        <v>1.8295555555555556</v>
      </c>
      <c r="BI41" s="38">
        <v>1.8036666666666672</v>
      </c>
      <c r="BJ41" s="39">
        <v>1.7837777777777777</v>
      </c>
      <c r="BL41" s="5"/>
    </row>
    <row r="42" spans="1:65" ht="21" x14ac:dyDescent="0.4">
      <c r="A42" s="2">
        <v>70</v>
      </c>
      <c r="B42">
        <v>555.95000000000005</v>
      </c>
      <c r="C42">
        <v>507.15</v>
      </c>
      <c r="D42">
        <v>483.11</v>
      </c>
      <c r="E42">
        <v>451.245</v>
      </c>
      <c r="F42">
        <v>440.06</v>
      </c>
      <c r="G42">
        <v>428.88</v>
      </c>
      <c r="H42">
        <v>399.125</v>
      </c>
      <c r="I42">
        <v>457.11500000000001</v>
      </c>
      <c r="J42">
        <v>452.69499999999999</v>
      </c>
      <c r="K42">
        <v>414.2</v>
      </c>
      <c r="M42">
        <v>4589.53</v>
      </c>
      <c r="O42">
        <v>70</v>
      </c>
      <c r="P42">
        <v>555.95000000000005</v>
      </c>
      <c r="Q42">
        <v>507.15</v>
      </c>
      <c r="R42">
        <v>483.11</v>
      </c>
      <c r="S42">
        <v>451.245</v>
      </c>
      <c r="T42">
        <v>440.06</v>
      </c>
      <c r="U42">
        <v>428.88</v>
      </c>
      <c r="V42">
        <v>399.125</v>
      </c>
      <c r="W42">
        <v>457.11500000000001</v>
      </c>
      <c r="X42">
        <v>452.69499999999999</v>
      </c>
      <c r="Y42">
        <v>414.2</v>
      </c>
      <c r="AA42" s="22">
        <v>70</v>
      </c>
      <c r="AB42" s="26">
        <f t="shared" si="26"/>
        <v>571.46562499999993</v>
      </c>
      <c r="AC42" s="27">
        <f t="shared" si="27"/>
        <v>514.62249999999995</v>
      </c>
      <c r="AD42" s="27">
        <f t="shared" si="28"/>
        <v>486.4656250000001</v>
      </c>
      <c r="AE42" s="27">
        <f t="shared" si="29"/>
        <v>467.19500000000005</v>
      </c>
      <c r="AF42" s="27">
        <f t="shared" si="30"/>
        <v>460.68687499999999</v>
      </c>
      <c r="AG42" s="27">
        <f t="shared" si="31"/>
        <v>456.29249999999996</v>
      </c>
      <c r="AH42" s="27">
        <f t="shared" si="32"/>
        <v>443.166875</v>
      </c>
      <c r="AI42" s="27">
        <f t="shared" si="33"/>
        <v>450.46749999999997</v>
      </c>
      <c r="AJ42" s="27">
        <f t="shared" si="34"/>
        <v>431.24625000000003</v>
      </c>
      <c r="AK42" s="28">
        <f t="shared" si="35"/>
        <v>451.60937499999994</v>
      </c>
      <c r="AM42" s="22">
        <v>70</v>
      </c>
      <c r="AN42" s="26">
        <v>219.18122499999987</v>
      </c>
      <c r="AO42" s="27">
        <v>263.42292222222216</v>
      </c>
      <c r="AP42" s="27">
        <v>277.61542500000007</v>
      </c>
      <c r="AQ42" s="27">
        <v>279.49811111111114</v>
      </c>
      <c r="AR42" s="27">
        <v>284.9187861111111</v>
      </c>
      <c r="AS42" s="27">
        <v>288.42349999999993</v>
      </c>
      <c r="AT42" s="27">
        <v>280.56749722222219</v>
      </c>
      <c r="AU42" s="27">
        <v>291.59854444444443</v>
      </c>
      <c r="AV42" s="27">
        <v>275.18847222222223</v>
      </c>
      <c r="AW42" s="28">
        <v>297.62524166666662</v>
      </c>
      <c r="AZ42" s="22">
        <v>70</v>
      </c>
      <c r="BA42" s="37">
        <v>3.6620000000000008</v>
      </c>
      <c r="BB42" s="38">
        <v>2.6112222222222226</v>
      </c>
      <c r="BC42" s="38">
        <v>2.1710000000000003</v>
      </c>
      <c r="BD42" s="38">
        <v>1.9511111111111115</v>
      </c>
      <c r="BE42" s="38">
        <v>1.8271111111111107</v>
      </c>
      <c r="BF42" s="38">
        <v>1.7450000000000001</v>
      </c>
      <c r="BG42" s="38">
        <v>1.6902222222222223</v>
      </c>
      <c r="BH42" s="38">
        <v>1.6514444444444445</v>
      </c>
      <c r="BI42" s="38">
        <v>1.6222222222222225</v>
      </c>
      <c r="BJ42" s="39">
        <v>1.6006666666666667</v>
      </c>
      <c r="BL42" s="5"/>
    </row>
    <row r="43" spans="1:65" ht="21" x14ac:dyDescent="0.4">
      <c r="A43" s="2">
        <v>80</v>
      </c>
      <c r="B43">
        <v>537.90499999999997</v>
      </c>
      <c r="C43">
        <v>492.43</v>
      </c>
      <c r="D43">
        <v>462.71</v>
      </c>
      <c r="E43">
        <v>436.80500000000001</v>
      </c>
      <c r="F43">
        <v>442.94499999999999</v>
      </c>
      <c r="G43">
        <v>444.89</v>
      </c>
      <c r="H43">
        <v>416.565</v>
      </c>
      <c r="I43">
        <v>426.43</v>
      </c>
      <c r="J43">
        <v>445.52499999999998</v>
      </c>
      <c r="K43">
        <v>420.42</v>
      </c>
      <c r="M43">
        <v>4526.625</v>
      </c>
      <c r="O43">
        <v>80</v>
      </c>
      <c r="P43">
        <v>537.90499999999997</v>
      </c>
      <c r="Q43">
        <v>492.43</v>
      </c>
      <c r="R43">
        <v>462.71</v>
      </c>
      <c r="S43">
        <v>436.80500000000001</v>
      </c>
      <c r="T43">
        <v>442.94499999999999</v>
      </c>
      <c r="U43">
        <v>444.89</v>
      </c>
      <c r="V43">
        <v>416.565</v>
      </c>
      <c r="W43">
        <v>426.43</v>
      </c>
      <c r="X43">
        <v>445.52499999999998</v>
      </c>
      <c r="Y43">
        <v>420.42</v>
      </c>
      <c r="AA43" s="22">
        <v>80</v>
      </c>
      <c r="AB43" s="26">
        <f t="shared" si="26"/>
        <v>553.42999999999995</v>
      </c>
      <c r="AC43" s="27">
        <f t="shared" si="27"/>
        <v>496.34750000000008</v>
      </c>
      <c r="AD43" s="27">
        <f t="shared" si="28"/>
        <v>478.19499999999999</v>
      </c>
      <c r="AE43" s="27">
        <f t="shared" si="29"/>
        <v>456.08249999999998</v>
      </c>
      <c r="AF43" s="27">
        <f t="shared" si="30"/>
        <v>451.28499999999991</v>
      </c>
      <c r="AG43" s="27">
        <f t="shared" si="31"/>
        <v>440.81124999999997</v>
      </c>
      <c r="AH43" s="27">
        <f t="shared" si="32"/>
        <v>424.16437500000006</v>
      </c>
      <c r="AI43" s="27">
        <f t="shared" si="33"/>
        <v>443.62749999999994</v>
      </c>
      <c r="AJ43" s="27">
        <f t="shared" si="34"/>
        <v>438.70249999999999</v>
      </c>
      <c r="AK43" s="28">
        <f t="shared" si="35"/>
        <v>421.44187499999992</v>
      </c>
      <c r="AM43" s="22">
        <v>80</v>
      </c>
      <c r="AN43" s="26">
        <v>212.66822222222214</v>
      </c>
      <c r="AO43" s="27">
        <v>253.30354444444453</v>
      </c>
      <c r="AP43" s="27">
        <v>278.27002222222222</v>
      </c>
      <c r="AQ43" s="27">
        <v>278.91416666666669</v>
      </c>
      <c r="AR43" s="27">
        <v>286.74024444444433</v>
      </c>
      <c r="AS43" s="27">
        <v>284.81760555555553</v>
      </c>
      <c r="AT43" s="27">
        <v>273.64344166666672</v>
      </c>
      <c r="AU43" s="27">
        <v>297.15765555555549</v>
      </c>
      <c r="AV43" s="27">
        <v>295.0545222222222</v>
      </c>
      <c r="AW43" s="28">
        <v>280.23096388888882</v>
      </c>
      <c r="AZ43" s="22">
        <v>80</v>
      </c>
      <c r="BA43" s="37">
        <v>3.5422222222222222</v>
      </c>
      <c r="BB43" s="38">
        <v>2.5264444444444445</v>
      </c>
      <c r="BC43" s="38">
        <v>2.0782222222222222</v>
      </c>
      <c r="BD43" s="38">
        <v>1.8416666666666666</v>
      </c>
      <c r="BE43" s="38">
        <v>1.7104444444444444</v>
      </c>
      <c r="BF43" s="38">
        <v>1.6215555555555554</v>
      </c>
      <c r="BG43" s="38">
        <v>1.5646666666666667</v>
      </c>
      <c r="BH43" s="38">
        <v>1.5225555555555554</v>
      </c>
      <c r="BI43" s="38">
        <v>1.4932222222222225</v>
      </c>
      <c r="BJ43" s="39">
        <v>1.467888888888889</v>
      </c>
      <c r="BL43" s="5"/>
    </row>
    <row r="44" spans="1:65" ht="21" x14ac:dyDescent="0.4">
      <c r="A44" s="2">
        <v>90</v>
      </c>
      <c r="B44">
        <v>533.94500000000005</v>
      </c>
      <c r="C44">
        <v>483.03500000000003</v>
      </c>
      <c r="D44">
        <v>430.19499999999999</v>
      </c>
      <c r="E44">
        <v>443.54</v>
      </c>
      <c r="F44">
        <v>436.08499999999998</v>
      </c>
      <c r="G44">
        <v>417.78500000000003</v>
      </c>
      <c r="H44">
        <v>428.11500000000001</v>
      </c>
      <c r="I44">
        <v>422.35500000000002</v>
      </c>
      <c r="J44">
        <v>426.64</v>
      </c>
      <c r="K44">
        <v>427.005</v>
      </c>
      <c r="M44">
        <v>4448.7</v>
      </c>
      <c r="O44">
        <v>90</v>
      </c>
      <c r="P44">
        <v>533.94500000000005</v>
      </c>
      <c r="Q44">
        <v>483.03500000000003</v>
      </c>
      <c r="R44">
        <v>430.19499999999999</v>
      </c>
      <c r="S44">
        <v>443.54</v>
      </c>
      <c r="T44">
        <v>436.08499999999998</v>
      </c>
      <c r="U44">
        <v>417.78500000000003</v>
      </c>
      <c r="V44">
        <v>428.11500000000001</v>
      </c>
      <c r="W44">
        <v>422.35500000000002</v>
      </c>
      <c r="X44">
        <v>426.64</v>
      </c>
      <c r="Y44">
        <v>427.005</v>
      </c>
      <c r="AA44" s="22">
        <v>90</v>
      </c>
      <c r="AB44" s="26">
        <f t="shared" si="26"/>
        <v>539.95187499999997</v>
      </c>
      <c r="AC44" s="27">
        <f t="shared" si="27"/>
        <v>487.37437499999999</v>
      </c>
      <c r="AD44" s="27">
        <f t="shared" si="28"/>
        <v>450.72999999999996</v>
      </c>
      <c r="AE44" s="27">
        <f t="shared" si="29"/>
        <v>445.00125000000008</v>
      </c>
      <c r="AF44" s="27">
        <f t="shared" si="30"/>
        <v>437.29999999999995</v>
      </c>
      <c r="AG44" s="27">
        <f t="shared" si="31"/>
        <v>422.640625</v>
      </c>
      <c r="AH44" s="27">
        <f t="shared" si="32"/>
        <v>431.8125</v>
      </c>
      <c r="AI44" s="27">
        <f t="shared" si="33"/>
        <v>425.49</v>
      </c>
      <c r="AJ44" s="27">
        <f t="shared" si="34"/>
        <v>428.19812499999989</v>
      </c>
      <c r="AK44" s="28">
        <f t="shared" si="35"/>
        <v>429.20875000000007</v>
      </c>
      <c r="AM44" s="22">
        <v>90</v>
      </c>
      <c r="AN44" s="26">
        <v>208.72458611111108</v>
      </c>
      <c r="AO44" s="27">
        <v>251.34233055555555</v>
      </c>
      <c r="AP44" s="27">
        <v>257.09008888888883</v>
      </c>
      <c r="AQ44" s="27">
        <v>275.06929444444449</v>
      </c>
      <c r="AR44" s="27">
        <v>280.79328888888887</v>
      </c>
      <c r="AS44" s="27">
        <v>275.18740277777778</v>
      </c>
      <c r="AT44" s="27">
        <v>290.39850000000001</v>
      </c>
      <c r="AU44" s="27">
        <v>288.2339777777778</v>
      </c>
      <c r="AV44" s="27">
        <v>294.29841388888883</v>
      </c>
      <c r="AW44" s="28">
        <v>297.74610555555563</v>
      </c>
      <c r="AZ44" s="22">
        <v>90</v>
      </c>
      <c r="BA44" s="37">
        <v>3.443111111111111</v>
      </c>
      <c r="BB44" s="38">
        <v>2.4535555555555555</v>
      </c>
      <c r="BC44" s="38">
        <v>2.0128888888888889</v>
      </c>
      <c r="BD44" s="38">
        <v>1.7664444444444447</v>
      </c>
      <c r="BE44" s="38">
        <v>1.6268888888888886</v>
      </c>
      <c r="BF44" s="38">
        <v>1.5327777777777778</v>
      </c>
      <c r="BG44" s="38">
        <v>1.47</v>
      </c>
      <c r="BH44" s="38">
        <v>1.4267777777777777</v>
      </c>
      <c r="BI44" s="38">
        <v>1.3918888888888887</v>
      </c>
      <c r="BJ44" s="39">
        <v>1.3665555555555555</v>
      </c>
      <c r="BL44" s="5"/>
    </row>
    <row r="45" spans="1:65" ht="21.6" thickBot="1" x14ac:dyDescent="0.45">
      <c r="A45" s="2">
        <v>100</v>
      </c>
      <c r="B45">
        <v>531.12</v>
      </c>
      <c r="C45">
        <v>467.58</v>
      </c>
      <c r="D45">
        <v>458.21</v>
      </c>
      <c r="E45">
        <v>448.67500000000001</v>
      </c>
      <c r="F45">
        <v>424.05500000000001</v>
      </c>
      <c r="G45">
        <v>403.49</v>
      </c>
      <c r="H45">
        <v>402.58499999999998</v>
      </c>
      <c r="I45">
        <v>400.24</v>
      </c>
      <c r="J45">
        <v>420.61</v>
      </c>
      <c r="K45">
        <v>411.64499999999998</v>
      </c>
      <c r="M45">
        <v>4368.21</v>
      </c>
      <c r="O45">
        <v>100</v>
      </c>
      <c r="P45">
        <v>531.12</v>
      </c>
      <c r="Q45">
        <v>467.58</v>
      </c>
      <c r="R45">
        <v>458.21</v>
      </c>
      <c r="S45">
        <v>448.67500000000001</v>
      </c>
      <c r="T45">
        <v>424.05500000000001</v>
      </c>
      <c r="U45">
        <v>403.49</v>
      </c>
      <c r="V45">
        <v>402.58499999999998</v>
      </c>
      <c r="W45">
        <v>400.24</v>
      </c>
      <c r="X45">
        <v>420.61</v>
      </c>
      <c r="Y45">
        <v>411.64499999999998</v>
      </c>
      <c r="AA45" s="29">
        <v>100</v>
      </c>
      <c r="AB45" s="30">
        <f t="shared" si="26"/>
        <v>530.75</v>
      </c>
      <c r="AC45" s="31">
        <f t="shared" si="27"/>
        <v>477.20124999999996</v>
      </c>
      <c r="AD45" s="31">
        <f t="shared" si="28"/>
        <v>450.86062500000003</v>
      </c>
      <c r="AE45" s="31">
        <f t="shared" si="29"/>
        <v>438.05999999999995</v>
      </c>
      <c r="AF45" s="31">
        <f t="shared" si="30"/>
        <v>437.26562500000006</v>
      </c>
      <c r="AG45" s="31">
        <f t="shared" si="31"/>
        <v>417.48937500000011</v>
      </c>
      <c r="AH45" s="31">
        <f t="shared" si="32"/>
        <v>412.29562500000003</v>
      </c>
      <c r="AI45" s="31">
        <f t="shared" si="33"/>
        <v>415.97812500000009</v>
      </c>
      <c r="AJ45" s="31">
        <f t="shared" si="34"/>
        <v>422.5943749999999</v>
      </c>
      <c r="AK45" s="32">
        <f t="shared" si="35"/>
        <v>427.64562500000005</v>
      </c>
      <c r="AM45" s="29">
        <v>100</v>
      </c>
      <c r="AN45" s="30">
        <v>202.68662222222224</v>
      </c>
      <c r="AO45" s="31">
        <v>247.21911666666665</v>
      </c>
      <c r="AP45" s="31">
        <v>261.81693611111115</v>
      </c>
      <c r="AQ45" s="31">
        <v>273.40835555555549</v>
      </c>
      <c r="AR45" s="31">
        <v>286.75538055555563</v>
      </c>
      <c r="AS45" s="31">
        <v>276.40673055555567</v>
      </c>
      <c r="AT45" s="31">
        <v>277.85078055555562</v>
      </c>
      <c r="AU45" s="31">
        <v>285.83021388888898</v>
      </c>
      <c r="AV45" s="31">
        <v>296.04861944444434</v>
      </c>
      <c r="AW45" s="32">
        <v>303.82553611111115</v>
      </c>
      <c r="AZ45" s="29">
        <v>100</v>
      </c>
      <c r="BA45" s="40">
        <v>3.410222222222222</v>
      </c>
      <c r="BB45" s="41">
        <v>2.3906666666666663</v>
      </c>
      <c r="BC45" s="41">
        <v>1.965111111111111</v>
      </c>
      <c r="BD45" s="41">
        <v>1.7115555555555557</v>
      </c>
      <c r="BE45" s="41">
        <v>1.5645555555555553</v>
      </c>
      <c r="BF45" s="41">
        <v>1.4665555555555558</v>
      </c>
      <c r="BG45" s="41">
        <v>1.3975555555555552</v>
      </c>
      <c r="BH45" s="41">
        <v>1.3528888888888888</v>
      </c>
      <c r="BI45" s="41">
        <v>1.3154444444444444</v>
      </c>
      <c r="BJ45" s="42">
        <v>1.2871111111111113</v>
      </c>
      <c r="BL45" s="5"/>
    </row>
    <row r="46" spans="1:65" x14ac:dyDescent="0.3">
      <c r="A46" s="2" t="s">
        <v>22</v>
      </c>
    </row>
    <row r="47" spans="1:65" x14ac:dyDescent="0.3">
      <c r="A47" s="2" t="s">
        <v>19</v>
      </c>
      <c r="B47">
        <v>6465.6649999999991</v>
      </c>
      <c r="C47">
        <v>5929.59</v>
      </c>
      <c r="D47">
        <v>5718.8049999999994</v>
      </c>
      <c r="E47">
        <v>5605.1450000000004</v>
      </c>
      <c r="F47">
        <v>5474.1949999999997</v>
      </c>
      <c r="G47">
        <v>5427.0749999999998</v>
      </c>
      <c r="H47">
        <v>5370.1599999999989</v>
      </c>
      <c r="I47">
        <v>5439.9549999999999</v>
      </c>
      <c r="J47">
        <v>5414.82</v>
      </c>
      <c r="K47">
        <v>5338.4250000000011</v>
      </c>
      <c r="M47">
        <v>56183.834999999992</v>
      </c>
    </row>
    <row r="48" spans="1:65" ht="15" thickBot="1" x14ac:dyDescent="0.35">
      <c r="AA48" t="s">
        <v>37</v>
      </c>
      <c r="AM48" t="s">
        <v>38</v>
      </c>
      <c r="AZ48" t="s">
        <v>46</v>
      </c>
    </row>
    <row r="49" spans="1:85" ht="21.6" thickBot="1" x14ac:dyDescent="0.45">
      <c r="A49">
        <v>5</v>
      </c>
      <c r="AA49" s="18"/>
      <c r="AB49" s="53" t="s">
        <v>33</v>
      </c>
      <c r="AC49" s="54"/>
      <c r="AD49" s="54"/>
      <c r="AE49" s="54"/>
      <c r="AF49" s="54"/>
      <c r="AG49" s="54"/>
      <c r="AH49" s="54"/>
      <c r="AI49" s="54"/>
      <c r="AJ49" s="54"/>
      <c r="AK49" s="55"/>
      <c r="AM49" s="18"/>
      <c r="AN49" s="53" t="s">
        <v>33</v>
      </c>
      <c r="AO49" s="54"/>
      <c r="AP49" s="54"/>
      <c r="AQ49" s="54"/>
      <c r="AR49" s="54"/>
      <c r="AS49" s="54"/>
      <c r="AT49" s="54"/>
      <c r="AU49" s="54"/>
      <c r="AV49" s="54"/>
      <c r="AW49" s="55"/>
      <c r="AZ49" s="18"/>
      <c r="BA49" s="53" t="s">
        <v>33</v>
      </c>
      <c r="BB49" s="54"/>
      <c r="BC49" s="54"/>
      <c r="BD49" s="54"/>
      <c r="BE49" s="54"/>
      <c r="BF49" s="54"/>
      <c r="BG49" s="54"/>
      <c r="BH49" s="54"/>
      <c r="BI49" s="54"/>
      <c r="BJ49" s="55"/>
    </row>
    <row r="50" spans="1:85" ht="21.6" thickBot="1" x14ac:dyDescent="0.45">
      <c r="A50" s="1" t="s">
        <v>28</v>
      </c>
      <c r="B50" s="1" t="s">
        <v>20</v>
      </c>
      <c r="O50" t="s">
        <v>28</v>
      </c>
      <c r="P50" t="s">
        <v>20</v>
      </c>
      <c r="AA50" s="19" t="s">
        <v>16</v>
      </c>
      <c r="AB50" s="20">
        <v>10</v>
      </c>
      <c r="AC50" s="20">
        <v>20</v>
      </c>
      <c r="AD50" s="20">
        <v>30</v>
      </c>
      <c r="AE50" s="20">
        <v>40</v>
      </c>
      <c r="AF50" s="20">
        <v>50</v>
      </c>
      <c r="AG50" s="20">
        <v>60</v>
      </c>
      <c r="AH50" s="20">
        <v>70</v>
      </c>
      <c r="AI50" s="20">
        <v>80</v>
      </c>
      <c r="AJ50" s="20">
        <v>90</v>
      </c>
      <c r="AK50" s="21">
        <v>100</v>
      </c>
      <c r="AM50" s="19" t="s">
        <v>16</v>
      </c>
      <c r="AN50" s="20">
        <v>10</v>
      </c>
      <c r="AO50" s="20">
        <v>20</v>
      </c>
      <c r="AP50" s="20">
        <v>30</v>
      </c>
      <c r="AQ50" s="20">
        <v>40</v>
      </c>
      <c r="AR50" s="20">
        <v>50</v>
      </c>
      <c r="AS50" s="20">
        <v>60</v>
      </c>
      <c r="AT50" s="20">
        <v>70</v>
      </c>
      <c r="AU50" s="20">
        <v>80</v>
      </c>
      <c r="AV50" s="20">
        <v>90</v>
      </c>
      <c r="AW50" s="21">
        <v>100</v>
      </c>
      <c r="AZ50" s="19" t="s">
        <v>16</v>
      </c>
      <c r="BA50" s="20">
        <v>10</v>
      </c>
      <c r="BB50" s="20">
        <v>20</v>
      </c>
      <c r="BC50" s="20">
        <v>30</v>
      </c>
      <c r="BD50" s="20">
        <v>40</v>
      </c>
      <c r="BE50" s="20">
        <v>50</v>
      </c>
      <c r="BF50" s="20">
        <v>60</v>
      </c>
      <c r="BG50" s="20">
        <v>70</v>
      </c>
      <c r="BH50" s="20">
        <v>80</v>
      </c>
      <c r="BI50" s="20">
        <v>90</v>
      </c>
      <c r="BJ50" s="21">
        <v>100</v>
      </c>
    </row>
    <row r="51" spans="1:85" ht="21" x14ac:dyDescent="0.4">
      <c r="A51" s="1" t="s">
        <v>18</v>
      </c>
      <c r="B51">
        <v>10</v>
      </c>
      <c r="C51">
        <v>20</v>
      </c>
      <c r="D51">
        <v>30</v>
      </c>
      <c r="E51">
        <v>40</v>
      </c>
      <c r="F51">
        <v>50</v>
      </c>
      <c r="G51">
        <v>60</v>
      </c>
      <c r="H51">
        <v>70</v>
      </c>
      <c r="I51">
        <v>80</v>
      </c>
      <c r="J51">
        <v>90</v>
      </c>
      <c r="K51">
        <v>100</v>
      </c>
      <c r="L51" t="s">
        <v>22</v>
      </c>
      <c r="M51" t="s">
        <v>19</v>
      </c>
      <c r="O51" t="s">
        <v>18</v>
      </c>
      <c r="P51">
        <v>10</v>
      </c>
      <c r="Q51">
        <v>20</v>
      </c>
      <c r="R51">
        <v>30</v>
      </c>
      <c r="S51">
        <v>40</v>
      </c>
      <c r="T51">
        <v>50</v>
      </c>
      <c r="U51">
        <v>60</v>
      </c>
      <c r="V51">
        <v>70</v>
      </c>
      <c r="W51">
        <v>80</v>
      </c>
      <c r="X51">
        <v>90</v>
      </c>
      <c r="Y51">
        <v>100</v>
      </c>
      <c r="AA51" s="22">
        <v>10</v>
      </c>
      <c r="AB51" s="27">
        <v>1055.0634500000001</v>
      </c>
      <c r="AC51" s="27">
        <v>1034.12087</v>
      </c>
      <c r="AD51" s="27">
        <v>1027.9569100000001</v>
      </c>
      <c r="AE51" s="27">
        <v>1024.6517100000001</v>
      </c>
      <c r="AF51" s="27">
        <v>1022.66604</v>
      </c>
      <c r="AG51" s="27">
        <v>1021.44699</v>
      </c>
      <c r="AH51" s="27">
        <v>1020.57835</v>
      </c>
      <c r="AI51" s="27">
        <v>1020.03151</v>
      </c>
      <c r="AJ51" s="27">
        <v>1019.64536</v>
      </c>
      <c r="AK51" s="28">
        <v>1019.23955</v>
      </c>
      <c r="AM51" s="22">
        <v>10</v>
      </c>
      <c r="AN51" s="5">
        <v>1116.4178400000001</v>
      </c>
      <c r="AO51" s="5">
        <v>1098.8649150000001</v>
      </c>
      <c r="AP51" s="5">
        <v>1087.6679999999999</v>
      </c>
      <c r="AQ51" s="5">
        <v>1086.125845</v>
      </c>
      <c r="AR51" s="5">
        <v>1076.26019</v>
      </c>
      <c r="AS51" s="5">
        <v>1067.2023099999999</v>
      </c>
      <c r="AT51" s="5">
        <v>1077.5119649999999</v>
      </c>
      <c r="AU51" s="5">
        <v>1088.2450249999999</v>
      </c>
      <c r="AV51" s="5">
        <v>1076.6958050000001</v>
      </c>
      <c r="AW51" s="5">
        <v>1077.86626</v>
      </c>
      <c r="AZ51" s="22">
        <v>10</v>
      </c>
      <c r="BA51" s="4">
        <f>AN51/AB36-1</f>
        <v>1.1744063835644303E-2</v>
      </c>
      <c r="BB51" s="4">
        <f>AO51/AC36-1</f>
        <v>2.1116468862979687E-2</v>
      </c>
      <c r="BC51" s="4">
        <f>AP51/AD36-1</f>
        <v>2.1187422322525462E-2</v>
      </c>
      <c r="BD51" s="4">
        <f>AQ51/AE36-1</f>
        <v>2.3777175171331599E-2</v>
      </c>
      <c r="BE51" s="4">
        <f>AR51/AF36-1</f>
        <v>1.5471525787543294E-2</v>
      </c>
      <c r="BF51" s="4">
        <f>AS51/AG36-1</f>
        <v>1.1828718589302234E-2</v>
      </c>
      <c r="BG51" s="4">
        <f>AT51/AH36-1</f>
        <v>2.1153241177843229E-2</v>
      </c>
      <c r="BH51" s="4">
        <f>AU51/AI36-1</f>
        <v>2.7533224434299397E-2</v>
      </c>
      <c r="BI51" s="4">
        <f>AV51/AJ36-1</f>
        <v>1.9110941263884129E-2</v>
      </c>
      <c r="BJ51" s="4">
        <f>AW51/AK36-1</f>
        <v>1.8958968341469262E-2</v>
      </c>
    </row>
    <row r="52" spans="1:85" ht="21" x14ac:dyDescent="0.4">
      <c r="A52" s="2">
        <v>10</v>
      </c>
      <c r="B52">
        <v>1084.74</v>
      </c>
      <c r="C52">
        <v>1049.0899999999999</v>
      </c>
      <c r="D52">
        <v>1049.9349999999999</v>
      </c>
      <c r="E52">
        <v>1039.8</v>
      </c>
      <c r="F52">
        <v>1053.68</v>
      </c>
      <c r="G52">
        <v>1039.4949999999999</v>
      </c>
      <c r="H52">
        <v>1043.0250000000001</v>
      </c>
      <c r="I52">
        <v>1039.3399999999999</v>
      </c>
      <c r="J52">
        <v>1043.325</v>
      </c>
      <c r="K52">
        <v>1030.615</v>
      </c>
      <c r="M52">
        <v>10473.045</v>
      </c>
      <c r="O52">
        <v>10</v>
      </c>
      <c r="P52">
        <v>1084.74</v>
      </c>
      <c r="Q52">
        <v>1049.0899999999999</v>
      </c>
      <c r="R52">
        <v>1049.9349999999999</v>
      </c>
      <c r="S52">
        <v>1039.8</v>
      </c>
      <c r="T52">
        <v>1053.68</v>
      </c>
      <c r="U52">
        <v>1039.4949999999999</v>
      </c>
      <c r="V52">
        <v>1043.0250000000001</v>
      </c>
      <c r="W52">
        <v>1039.3399999999999</v>
      </c>
      <c r="X52">
        <v>1043.325</v>
      </c>
      <c r="Y52">
        <v>1030.615</v>
      </c>
      <c r="AA52" s="22">
        <v>20</v>
      </c>
      <c r="AB52" s="27">
        <v>737.72113100000001</v>
      </c>
      <c r="AC52" s="27">
        <v>698.30169999999998</v>
      </c>
      <c r="AD52" s="27">
        <v>687.00649999999996</v>
      </c>
      <c r="AE52" s="27">
        <v>681.10283500000003</v>
      </c>
      <c r="AF52" s="27">
        <v>677.66720599999996</v>
      </c>
      <c r="AG52" s="27">
        <v>675.62471300000004</v>
      </c>
      <c r="AH52" s="27">
        <v>674.14832200000001</v>
      </c>
      <c r="AI52" s="27">
        <v>673.24295500000005</v>
      </c>
      <c r="AJ52" s="27">
        <v>672.60056899999995</v>
      </c>
      <c r="AK52" s="28">
        <v>671.90055800000005</v>
      </c>
      <c r="AM52" s="22">
        <v>20</v>
      </c>
      <c r="AN52" s="5">
        <v>779.21326999999997</v>
      </c>
      <c r="AO52" s="5">
        <v>718.996218</v>
      </c>
      <c r="AP52" s="5">
        <v>708.56356800000003</v>
      </c>
      <c r="AQ52" s="5">
        <v>688.07422999999994</v>
      </c>
      <c r="AR52" s="5">
        <v>699.16294000000005</v>
      </c>
      <c r="AS52" s="5">
        <v>687.95630500000004</v>
      </c>
      <c r="AT52" s="5">
        <v>678.41872999999998</v>
      </c>
      <c r="AU52" s="5">
        <v>689.09311200000002</v>
      </c>
      <c r="AV52" s="5">
        <v>688.24141999999995</v>
      </c>
      <c r="AW52" s="5">
        <v>676.54893500000003</v>
      </c>
      <c r="AZ52" s="22">
        <v>20</v>
      </c>
      <c r="BA52" s="4">
        <f>AN52/AB37-1</f>
        <v>3.4158563523537966E-2</v>
      </c>
      <c r="BB52" s="4">
        <f>AO52/AC37-1</f>
        <v>2.0267048854942793E-2</v>
      </c>
      <c r="BC52" s="4">
        <f>AP52/AD37-1</f>
        <v>3.8849550583933912E-2</v>
      </c>
      <c r="BD52" s="4">
        <f>AQ52/AE37-1</f>
        <v>1.2478749252770482E-2</v>
      </c>
      <c r="BE52" s="4">
        <f>AR52/AF37-1</f>
        <v>3.5252482027970489E-2</v>
      </c>
      <c r="BF52" s="4">
        <f>AS52/AG37-1</f>
        <v>2.7873393962541071E-2</v>
      </c>
      <c r="BG52" s="4">
        <f>AT52/AH37-1</f>
        <v>1.4313824578190637E-2</v>
      </c>
      <c r="BH52" s="4">
        <f>AU52/AI37-1</f>
        <v>3.2486509629557458E-2</v>
      </c>
      <c r="BI52" s="4">
        <f>AV52/AJ37-1</f>
        <v>3.1161149498693197E-2</v>
      </c>
      <c r="BJ52" s="4">
        <f>AW52/AK37-1</f>
        <v>2.2240717254352838E-2</v>
      </c>
    </row>
    <row r="53" spans="1:85" ht="21" x14ac:dyDescent="0.4">
      <c r="A53" s="2">
        <v>20</v>
      </c>
      <c r="B53">
        <v>740.68499999999995</v>
      </c>
      <c r="C53">
        <v>691.43</v>
      </c>
      <c r="D53">
        <v>661.59</v>
      </c>
      <c r="E53">
        <v>649.56500000000005</v>
      </c>
      <c r="F53">
        <v>653.38499999999999</v>
      </c>
      <c r="G53">
        <v>655.44500000000005</v>
      </c>
      <c r="H53">
        <v>654.28499999999997</v>
      </c>
      <c r="I53">
        <v>642.04</v>
      </c>
      <c r="J53">
        <v>649.44000000000005</v>
      </c>
      <c r="K53">
        <v>640.45000000000005</v>
      </c>
      <c r="M53">
        <v>6638.3149999999996</v>
      </c>
      <c r="O53">
        <v>20</v>
      </c>
      <c r="P53">
        <v>740.68499999999995</v>
      </c>
      <c r="Q53">
        <v>691.43</v>
      </c>
      <c r="R53">
        <v>661.59</v>
      </c>
      <c r="S53">
        <v>649.56500000000005</v>
      </c>
      <c r="T53">
        <v>653.38499999999999</v>
      </c>
      <c r="U53">
        <v>655.44500000000005</v>
      </c>
      <c r="V53">
        <v>654.28499999999997</v>
      </c>
      <c r="W53">
        <v>642.04</v>
      </c>
      <c r="X53">
        <v>649.44000000000005</v>
      </c>
      <c r="Y53">
        <v>640.45000000000005</v>
      </c>
      <c r="AA53" s="22">
        <v>30</v>
      </c>
      <c r="AB53" s="27">
        <v>661.83581900000001</v>
      </c>
      <c r="AC53" s="27">
        <v>605.09012099999995</v>
      </c>
      <c r="AD53" s="27">
        <v>589.04997700000001</v>
      </c>
      <c r="AE53" s="27">
        <v>580.62217199999998</v>
      </c>
      <c r="AF53" s="27">
        <v>575.74537899999996</v>
      </c>
      <c r="AG53" s="27">
        <v>572.728521</v>
      </c>
      <c r="AH53" s="27">
        <v>570.58984799999996</v>
      </c>
      <c r="AI53" s="27">
        <v>569.21545200000003</v>
      </c>
      <c r="AJ53" s="27">
        <v>568.26752899999997</v>
      </c>
      <c r="AK53" s="28">
        <v>567.22146399999997</v>
      </c>
      <c r="AM53" s="22">
        <v>30</v>
      </c>
      <c r="AN53" s="5">
        <v>672.04760699999997</v>
      </c>
      <c r="AO53" s="5">
        <v>619.91157999999996</v>
      </c>
      <c r="AP53" s="5">
        <v>599.59090500000002</v>
      </c>
      <c r="AQ53" s="5">
        <v>581.90269999999998</v>
      </c>
      <c r="AR53" s="5">
        <v>582.009995</v>
      </c>
      <c r="AS53" s="5">
        <v>582.74141499999996</v>
      </c>
      <c r="AT53" s="5">
        <v>573.18264499999998</v>
      </c>
      <c r="AU53" s="5">
        <v>573.44473000000005</v>
      </c>
      <c r="AV53" s="5">
        <v>574.48531200000002</v>
      </c>
      <c r="AW53" s="5">
        <v>562.78892299999995</v>
      </c>
      <c r="AZ53" s="22">
        <v>30</v>
      </c>
      <c r="BA53" s="4">
        <f>AN53/AB38-1</f>
        <v>2.6606796205490335E-2</v>
      </c>
      <c r="BB53" s="4">
        <f>AO53/AC38-1</f>
        <v>4.0952994058794712E-2</v>
      </c>
      <c r="BC53" s="4">
        <f>AP53/AD38-1</f>
        <v>4.5821271474404401E-2</v>
      </c>
      <c r="BD53" s="4">
        <f>AQ53/AE38-1</f>
        <v>3.4576455005289164E-2</v>
      </c>
      <c r="BE53" s="4">
        <f>AR53/AF38-1</f>
        <v>4.3473964583900626E-2</v>
      </c>
      <c r="BF53" s="4">
        <f>AS53/AG38-1</f>
        <v>5.6703164489535718E-2</v>
      </c>
      <c r="BG53" s="4">
        <f>AT53/AH38-1</f>
        <v>3.8185104391069924E-2</v>
      </c>
      <c r="BH53" s="4">
        <f>AU53/AI38-1</f>
        <v>4.3472231478459689E-2</v>
      </c>
      <c r="BI53" s="4">
        <f>AV53/AJ38-1</f>
        <v>4.6331994877486959E-2</v>
      </c>
      <c r="BJ53" s="4">
        <f>AW53/AK38-1</f>
        <v>2.8137408300116684E-2</v>
      </c>
    </row>
    <row r="54" spans="1:85" ht="21" x14ac:dyDescent="0.4">
      <c r="A54" s="2">
        <v>30</v>
      </c>
      <c r="B54">
        <v>636.17999999999995</v>
      </c>
      <c r="C54">
        <v>572.48</v>
      </c>
      <c r="D54">
        <v>547.39499999999998</v>
      </c>
      <c r="E54">
        <v>534.41</v>
      </c>
      <c r="F54">
        <v>529.82000000000005</v>
      </c>
      <c r="G54">
        <v>552.89499999999998</v>
      </c>
      <c r="H54">
        <v>515.23500000000001</v>
      </c>
      <c r="I54">
        <v>554.24</v>
      </c>
      <c r="J54">
        <v>509.48</v>
      </c>
      <c r="K54">
        <v>529.89</v>
      </c>
      <c r="M54">
        <v>5482.0250000000005</v>
      </c>
      <c r="O54">
        <v>30</v>
      </c>
      <c r="P54">
        <v>636.17999999999995</v>
      </c>
      <c r="Q54">
        <v>572.48</v>
      </c>
      <c r="R54">
        <v>547.39499999999998</v>
      </c>
      <c r="S54">
        <v>534.41</v>
      </c>
      <c r="T54">
        <v>529.82000000000005</v>
      </c>
      <c r="U54">
        <v>552.89499999999998</v>
      </c>
      <c r="V54">
        <v>515.23500000000001</v>
      </c>
      <c r="W54">
        <v>554.24</v>
      </c>
      <c r="X54">
        <v>509.48</v>
      </c>
      <c r="Y54">
        <v>529.89</v>
      </c>
      <c r="AA54" s="22">
        <v>40</v>
      </c>
      <c r="AB54" s="27">
        <v>643.21924200000001</v>
      </c>
      <c r="AC54" s="27">
        <v>571.41814399999998</v>
      </c>
      <c r="AD54" s="27">
        <v>551.27160800000001</v>
      </c>
      <c r="AE54" s="27">
        <v>540.80060600000002</v>
      </c>
      <c r="AF54" s="27">
        <v>534.72320000000002</v>
      </c>
      <c r="AG54" s="27">
        <v>530.98026100000004</v>
      </c>
      <c r="AH54" s="27">
        <v>528.26920700000005</v>
      </c>
      <c r="AI54" s="27">
        <v>526.57020299999999</v>
      </c>
      <c r="AJ54" s="27">
        <v>525.38825399999996</v>
      </c>
      <c r="AK54" s="28">
        <v>524.10661800000003</v>
      </c>
      <c r="AM54" s="22">
        <v>40</v>
      </c>
      <c r="AN54" s="5">
        <v>651.49163199999998</v>
      </c>
      <c r="AO54" s="5">
        <v>574.95346500000005</v>
      </c>
      <c r="AP54" s="5">
        <v>549.18643999999995</v>
      </c>
      <c r="AQ54" s="5">
        <v>538.43661499999996</v>
      </c>
      <c r="AR54" s="5">
        <v>525.15386000000001</v>
      </c>
      <c r="AS54" s="5">
        <v>511.36816499999998</v>
      </c>
      <c r="AT54" s="5">
        <v>507.91770000000002</v>
      </c>
      <c r="AU54" s="5">
        <v>540.17316500000004</v>
      </c>
      <c r="AV54" s="5">
        <v>520.32907299999999</v>
      </c>
      <c r="AW54" s="5">
        <v>509.30350499999997</v>
      </c>
      <c r="AZ54" s="22">
        <v>40</v>
      </c>
      <c r="BA54" s="4">
        <f>AN54/AB39-1</f>
        <v>4.8931946546449723E-2</v>
      </c>
      <c r="BB54" s="4">
        <f>AO54/AC39-1</f>
        <v>4.0099703886782523E-2</v>
      </c>
      <c r="BC54" s="4">
        <f>AP54/AD39-1</f>
        <v>4.1533777905265135E-2</v>
      </c>
      <c r="BD54" s="4">
        <f>AQ54/AE39-1</f>
        <v>4.3104040566703805E-2</v>
      </c>
      <c r="BE54" s="4">
        <f>AR54/AF39-1</f>
        <v>4.2521388380532876E-2</v>
      </c>
      <c r="BF54" s="4">
        <f>AS54/AG39-1</f>
        <v>3.2235476976879784E-2</v>
      </c>
      <c r="BG54" s="4">
        <f>AT54/AH39-1</f>
        <v>2.4857993560811309E-2</v>
      </c>
      <c r="BH54" s="4">
        <f>AU54/AI39-1</f>
        <v>4.9869918600427443E-2</v>
      </c>
      <c r="BI54" s="4">
        <f>AV54/AJ39-1</f>
        <v>4.0188760821679104E-2</v>
      </c>
      <c r="BJ54" s="4">
        <f>AW54/AK39-1</f>
        <v>2.6764655185448349E-2</v>
      </c>
    </row>
    <row r="55" spans="1:85" ht="21" x14ac:dyDescent="0.4">
      <c r="A55" s="2">
        <v>40</v>
      </c>
      <c r="B55">
        <v>606.44000000000005</v>
      </c>
      <c r="C55">
        <v>527.19500000000005</v>
      </c>
      <c r="D55">
        <v>505.6</v>
      </c>
      <c r="E55">
        <v>499.185</v>
      </c>
      <c r="F55">
        <v>488.57499999999999</v>
      </c>
      <c r="G55">
        <v>479.08499999999998</v>
      </c>
      <c r="H55">
        <v>491.79500000000002</v>
      </c>
      <c r="I55">
        <v>504.01</v>
      </c>
      <c r="J55">
        <v>476.40499999999997</v>
      </c>
      <c r="K55">
        <v>475.92</v>
      </c>
      <c r="M55">
        <v>5054.21</v>
      </c>
      <c r="O55">
        <v>40</v>
      </c>
      <c r="P55">
        <v>606.44000000000005</v>
      </c>
      <c r="Q55">
        <v>527.19500000000005</v>
      </c>
      <c r="R55">
        <v>505.6</v>
      </c>
      <c r="S55">
        <v>499.185</v>
      </c>
      <c r="T55">
        <v>488.57499999999999</v>
      </c>
      <c r="U55">
        <v>479.08499999999998</v>
      </c>
      <c r="V55">
        <v>491.79500000000002</v>
      </c>
      <c r="W55">
        <v>504.01</v>
      </c>
      <c r="X55">
        <v>476.40499999999997</v>
      </c>
      <c r="Y55">
        <v>475.92</v>
      </c>
      <c r="AA55" s="22">
        <v>50</v>
      </c>
      <c r="AB55" s="27">
        <v>642.12087099999997</v>
      </c>
      <c r="AC55" s="27">
        <v>560.77787999999998</v>
      </c>
      <c r="AD55" s="27">
        <v>537.63124200000004</v>
      </c>
      <c r="AE55" s="27">
        <v>525.83813799999996</v>
      </c>
      <c r="AF55" s="27">
        <v>519.00556300000005</v>
      </c>
      <c r="AG55" s="27">
        <v>514.79263600000002</v>
      </c>
      <c r="AH55" s="27">
        <v>511.74955699999998</v>
      </c>
      <c r="AI55" s="27">
        <v>509.85504600000002</v>
      </c>
      <c r="AJ55" s="27">
        <v>508.49724099999997</v>
      </c>
      <c r="AK55" s="28">
        <v>507.06605500000001</v>
      </c>
      <c r="AM55" s="22">
        <v>50</v>
      </c>
      <c r="AN55" s="5">
        <v>626.69885999999997</v>
      </c>
      <c r="AO55" s="5">
        <v>558.07016999999996</v>
      </c>
      <c r="AP55" s="5">
        <v>527.74137700000006</v>
      </c>
      <c r="AQ55" s="5">
        <v>524.63371500000005</v>
      </c>
      <c r="AR55" s="5">
        <v>526.55051500000002</v>
      </c>
      <c r="AS55" s="5">
        <v>510.43622199999999</v>
      </c>
      <c r="AT55" s="5">
        <v>508.76158299999997</v>
      </c>
      <c r="AU55" s="5">
        <v>512.70254999999997</v>
      </c>
      <c r="AV55" s="5">
        <v>501.14895000000001</v>
      </c>
      <c r="AW55" s="5">
        <v>499.74424699999997</v>
      </c>
      <c r="AZ55" s="22">
        <v>50</v>
      </c>
      <c r="BA55" s="4">
        <f>AN55/AB40-1</f>
        <v>3.8150243821632124E-2</v>
      </c>
      <c r="BB55" s="4">
        <f>AO55/AC40-1</f>
        <v>4.2656515433533215E-2</v>
      </c>
      <c r="BC55" s="4">
        <f>AP55/AD40-1</f>
        <v>2.9819648362799045E-2</v>
      </c>
      <c r="BD55" s="4">
        <f>AQ55/AE40-1</f>
        <v>3.551450300693948E-2</v>
      </c>
      <c r="BE55" s="4">
        <f>AR55/AF40-1</f>
        <v>5.9958964500316903E-2</v>
      </c>
      <c r="BF55" s="4">
        <f>AS55/AG40-1</f>
        <v>3.9148467675238274E-2</v>
      </c>
      <c r="BG55" s="4">
        <f>AT55/AH40-1</f>
        <v>4.5722377050128049E-2</v>
      </c>
      <c r="BH55" s="4">
        <f>AU55/AI40-1</f>
        <v>6.4132886228166264E-2</v>
      </c>
      <c r="BI55" s="4">
        <f>AV55/AJ40-1</f>
        <v>3.9260498712327507E-2</v>
      </c>
      <c r="BJ55" s="4">
        <f>AW55/AK40-1</f>
        <v>4.334280025157411E-2</v>
      </c>
    </row>
    <row r="56" spans="1:85" ht="21" x14ac:dyDescent="0.4">
      <c r="A56" s="2">
        <v>50</v>
      </c>
      <c r="B56">
        <v>578.94000000000005</v>
      </c>
      <c r="C56">
        <v>524.46500000000003</v>
      </c>
      <c r="D56">
        <v>492.815</v>
      </c>
      <c r="E56">
        <v>482.86500000000001</v>
      </c>
      <c r="F56">
        <v>474.65</v>
      </c>
      <c r="G56">
        <v>469.065</v>
      </c>
      <c r="H56">
        <v>467.14</v>
      </c>
      <c r="I56">
        <v>470.34</v>
      </c>
      <c r="J56">
        <v>470.56</v>
      </c>
      <c r="K56">
        <v>464.935</v>
      </c>
      <c r="M56">
        <v>4895.7750000000005</v>
      </c>
      <c r="O56">
        <v>50</v>
      </c>
      <c r="P56">
        <v>578.94000000000005</v>
      </c>
      <c r="Q56">
        <v>524.46500000000003</v>
      </c>
      <c r="R56">
        <v>492.815</v>
      </c>
      <c r="S56">
        <v>482.86500000000001</v>
      </c>
      <c r="T56">
        <v>474.65</v>
      </c>
      <c r="U56">
        <v>469.065</v>
      </c>
      <c r="V56">
        <v>467.14</v>
      </c>
      <c r="W56">
        <v>470.34</v>
      </c>
      <c r="X56">
        <v>470.56</v>
      </c>
      <c r="Y56">
        <v>464.935</v>
      </c>
      <c r="AA56" s="22">
        <v>60</v>
      </c>
      <c r="AB56" s="27">
        <v>642.12087099999997</v>
      </c>
      <c r="AC56" s="27">
        <v>559.11181599999998</v>
      </c>
      <c r="AD56" s="27">
        <v>534.91191400000002</v>
      </c>
      <c r="AE56" s="27">
        <v>522.71218999999996</v>
      </c>
      <c r="AF56" s="27">
        <v>515.80252700000005</v>
      </c>
      <c r="AG56" s="27">
        <v>511.53664900000001</v>
      </c>
      <c r="AH56" s="27">
        <v>508.473386</v>
      </c>
      <c r="AI56" s="27">
        <v>506.52695599999998</v>
      </c>
      <c r="AJ56" s="27">
        <v>505.13101</v>
      </c>
      <c r="AK56" s="28">
        <v>503.68783500000001</v>
      </c>
      <c r="AM56" s="22">
        <v>60</v>
      </c>
      <c r="AN56" s="5">
        <v>619.13527999999997</v>
      </c>
      <c r="AO56" s="5">
        <v>559.95769700000005</v>
      </c>
      <c r="AP56" s="5">
        <v>537.72803499999998</v>
      </c>
      <c r="AQ56" s="5">
        <v>522.08346800000004</v>
      </c>
      <c r="AR56" s="5">
        <v>502.26297799999998</v>
      </c>
      <c r="AS56" s="5">
        <v>504.49722800000001</v>
      </c>
      <c r="AT56" s="5">
        <v>492.85569299999997</v>
      </c>
      <c r="AU56" s="5">
        <v>490.08324299999998</v>
      </c>
      <c r="AV56" s="5">
        <v>492.07516800000002</v>
      </c>
      <c r="AW56" s="5">
        <v>494.64663000000002</v>
      </c>
      <c r="AZ56" s="22">
        <v>60</v>
      </c>
      <c r="BA56" s="4">
        <f>AN56/AB41-1</f>
        <v>3.9460706603288598E-2</v>
      </c>
      <c r="BB56" s="4">
        <f>AO56/AC41-1</f>
        <v>5.1945265595151335E-2</v>
      </c>
      <c r="BC56" s="4">
        <f>AP56/AD41-1</f>
        <v>5.7690830390060954E-2</v>
      </c>
      <c r="BD56" s="4">
        <f>AQ56/AE41-1</f>
        <v>5.8090078824735158E-2</v>
      </c>
      <c r="BE56" s="4">
        <f>AR56/AF41-1</f>
        <v>5.2599490479564803E-2</v>
      </c>
      <c r="BF56" s="4">
        <f>AS56/AG41-1</f>
        <v>6.4657406874939038E-2</v>
      </c>
      <c r="BG56" s="4">
        <f>AT56/AH41-1</f>
        <v>6.7562757035346532E-2</v>
      </c>
      <c r="BH56" s="4">
        <f>AU56/AI41-1</f>
        <v>6.7595919317617215E-2</v>
      </c>
      <c r="BI56" s="4">
        <f>AV56/AJ41-1</f>
        <v>7.3226820574126883E-2</v>
      </c>
      <c r="BJ56" s="4">
        <f>AW56/AK41-1</f>
        <v>8.0160403766338595E-2</v>
      </c>
    </row>
    <row r="57" spans="1:85" ht="21" x14ac:dyDescent="0.4">
      <c r="A57" s="2">
        <v>60</v>
      </c>
      <c r="B57">
        <v>587.15</v>
      </c>
      <c r="C57">
        <v>519.18499999999995</v>
      </c>
      <c r="D57">
        <v>501.59500000000003</v>
      </c>
      <c r="E57">
        <v>480.95499999999998</v>
      </c>
      <c r="F57">
        <v>473.65499999999997</v>
      </c>
      <c r="G57">
        <v>458.27499999999998</v>
      </c>
      <c r="H57">
        <v>434.22500000000002</v>
      </c>
      <c r="I57">
        <v>441.18</v>
      </c>
      <c r="J57">
        <v>451.54</v>
      </c>
      <c r="K57">
        <v>454.495</v>
      </c>
      <c r="M57">
        <v>4802.2550000000001</v>
      </c>
      <c r="O57">
        <v>60</v>
      </c>
      <c r="P57">
        <v>587.15</v>
      </c>
      <c r="Q57">
        <v>519.18499999999995</v>
      </c>
      <c r="R57">
        <v>501.59500000000003</v>
      </c>
      <c r="S57">
        <v>480.95499999999998</v>
      </c>
      <c r="T57">
        <v>473.65499999999997</v>
      </c>
      <c r="U57">
        <v>458.27499999999998</v>
      </c>
      <c r="V57">
        <v>434.22500000000002</v>
      </c>
      <c r="W57">
        <v>441.18</v>
      </c>
      <c r="X57">
        <v>451.54</v>
      </c>
      <c r="Y57">
        <v>454.495</v>
      </c>
      <c r="AA57" s="22">
        <v>70</v>
      </c>
      <c r="AB57" s="27">
        <v>642.12087099999997</v>
      </c>
      <c r="AC57" s="27">
        <v>559.144587</v>
      </c>
      <c r="AD57" s="27">
        <v>536.11076800000001</v>
      </c>
      <c r="AE57" s="27">
        <v>524.83235000000002</v>
      </c>
      <c r="AF57" s="27">
        <v>518.62961299999995</v>
      </c>
      <c r="AG57" s="27">
        <v>514.87939100000006</v>
      </c>
      <c r="AH57" s="27">
        <v>512.168183</v>
      </c>
      <c r="AI57" s="27">
        <v>510.45424500000001</v>
      </c>
      <c r="AJ57" s="27">
        <v>509.23089800000002</v>
      </c>
      <c r="AK57" s="28">
        <v>507.93183699999997</v>
      </c>
      <c r="AM57" s="22">
        <v>70</v>
      </c>
      <c r="AN57" s="5">
        <v>590.37399200000004</v>
      </c>
      <c r="AO57" s="5">
        <v>559.00406499999997</v>
      </c>
      <c r="AP57" s="5">
        <v>513.50500999999997</v>
      </c>
      <c r="AQ57" s="5">
        <v>508.538275</v>
      </c>
      <c r="AR57" s="5">
        <v>488.08068500000002</v>
      </c>
      <c r="AS57" s="5">
        <v>484.74250999999998</v>
      </c>
      <c r="AT57" s="5">
        <v>475.06615299999999</v>
      </c>
      <c r="AU57" s="5">
        <v>492.64312000000001</v>
      </c>
      <c r="AV57" s="5">
        <v>473.27020499999998</v>
      </c>
      <c r="AW57" s="5">
        <v>487.61181499999998</v>
      </c>
      <c r="AZ57" s="22">
        <v>70</v>
      </c>
      <c r="BA57" s="4">
        <f>AN57/AB42-1</f>
        <v>3.3087496732634003E-2</v>
      </c>
      <c r="BB57" s="4">
        <f>AO57/AC42-1</f>
        <v>8.6241011615310281E-2</v>
      </c>
      <c r="BC57" s="4">
        <f>AP57/AD42-1</f>
        <v>5.5583341577320811E-2</v>
      </c>
      <c r="BD57" s="4">
        <f>AQ57/AE42-1</f>
        <v>8.8492545939061751E-2</v>
      </c>
      <c r="BE57" s="4">
        <f>AR57/AF42-1</f>
        <v>5.9462970374400292E-2</v>
      </c>
      <c r="BF57" s="4">
        <f>AS57/AG42-1</f>
        <v>6.2350378320923605E-2</v>
      </c>
      <c r="BG57" s="4">
        <f>AT57/AH42-1</f>
        <v>7.1980285078842909E-2</v>
      </c>
      <c r="BH57" s="4">
        <f>AU57/AI42-1</f>
        <v>9.3626332643309551E-2</v>
      </c>
      <c r="BI57" s="4">
        <f>AV57/AJ42-1</f>
        <v>9.7447699545213373E-2</v>
      </c>
      <c r="BJ57" s="4">
        <f>AW57/AK42-1</f>
        <v>7.9720311386361375E-2</v>
      </c>
    </row>
    <row r="58" spans="1:85" ht="21" x14ac:dyDescent="0.4">
      <c r="A58" s="2">
        <v>70</v>
      </c>
      <c r="B58">
        <v>560.80499999999995</v>
      </c>
      <c r="C58">
        <v>481.625</v>
      </c>
      <c r="D58">
        <v>471.60500000000002</v>
      </c>
      <c r="E58">
        <v>457.19</v>
      </c>
      <c r="F58">
        <v>467.065</v>
      </c>
      <c r="G58">
        <v>451.125</v>
      </c>
      <c r="H58">
        <v>472.01</v>
      </c>
      <c r="I58">
        <v>419.565</v>
      </c>
      <c r="J58">
        <v>410.47500000000002</v>
      </c>
      <c r="K58">
        <v>463.2</v>
      </c>
      <c r="M58">
        <v>4654.665</v>
      </c>
      <c r="O58">
        <v>70</v>
      </c>
      <c r="P58">
        <v>560.80499999999995</v>
      </c>
      <c r="Q58">
        <v>481.625</v>
      </c>
      <c r="R58">
        <v>471.60500000000002</v>
      </c>
      <c r="S58">
        <v>457.19</v>
      </c>
      <c r="T58">
        <v>467.065</v>
      </c>
      <c r="U58">
        <v>451.125</v>
      </c>
      <c r="V58">
        <v>472.01</v>
      </c>
      <c r="W58">
        <v>419.565</v>
      </c>
      <c r="X58">
        <v>410.47500000000002</v>
      </c>
      <c r="Y58">
        <v>463.2</v>
      </c>
      <c r="AA58" s="22">
        <v>80</v>
      </c>
      <c r="AB58" s="27">
        <v>642.12087099999997</v>
      </c>
      <c r="AC58" s="27">
        <v>559.144587</v>
      </c>
      <c r="AD58" s="27">
        <v>536.85364800000002</v>
      </c>
      <c r="AE58" s="27">
        <v>528.08500400000003</v>
      </c>
      <c r="AF58" s="27">
        <v>523.57519300000001</v>
      </c>
      <c r="AG58" s="27">
        <v>520.938535</v>
      </c>
      <c r="AH58" s="27">
        <v>519.09984099999997</v>
      </c>
      <c r="AI58" s="27">
        <v>517.92764099999999</v>
      </c>
      <c r="AJ58" s="27">
        <v>517.076235</v>
      </c>
      <c r="AK58" s="28">
        <v>516.19274600000006</v>
      </c>
      <c r="AM58" s="22">
        <v>80</v>
      </c>
      <c r="AN58" s="5">
        <v>570.15583000000004</v>
      </c>
      <c r="AO58" s="5">
        <v>519.46792500000004</v>
      </c>
      <c r="AP58" s="5">
        <v>503.90724</v>
      </c>
      <c r="AQ58" s="5">
        <v>487.45610299999998</v>
      </c>
      <c r="AR58" s="5">
        <v>482.95580699999999</v>
      </c>
      <c r="AS58" s="5">
        <v>463.06389999999999</v>
      </c>
      <c r="AT58" s="5">
        <v>468.82684499999999</v>
      </c>
      <c r="AU58" s="5">
        <v>478.184417</v>
      </c>
      <c r="AV58" s="5">
        <v>463.75796800000001</v>
      </c>
      <c r="AW58" s="5">
        <v>440.71333299999998</v>
      </c>
      <c r="AZ58" s="22">
        <v>80</v>
      </c>
      <c r="BA58" s="4">
        <f>AN58/AB43-1</f>
        <v>3.0222123845834226E-2</v>
      </c>
      <c r="BB58" s="4">
        <f>AO58/AC43-1</f>
        <v>4.658112511899426E-2</v>
      </c>
      <c r="BC58" s="4">
        <f>AP58/AD43-1</f>
        <v>5.3769361871203181E-2</v>
      </c>
      <c r="BD58" s="4">
        <f>AQ58/AE43-1</f>
        <v>6.8789315529536932E-2</v>
      </c>
      <c r="BE58" s="4">
        <f>AR58/AF43-1</f>
        <v>7.0179170590646933E-2</v>
      </c>
      <c r="BF58" s="4">
        <f>AS58/AG43-1</f>
        <v>5.048112996208709E-2</v>
      </c>
      <c r="BG58" s="4">
        <f>AT58/AH43-1</f>
        <v>0.10529519363807949</v>
      </c>
      <c r="BH58" s="4">
        <f>AU58/AI43-1</f>
        <v>7.7896246287707749E-2</v>
      </c>
      <c r="BI58" s="4">
        <f>AV58/AJ43-1</f>
        <v>5.7112662909374778E-2</v>
      </c>
      <c r="BJ58" s="4">
        <f>AW58/AK43-1</f>
        <v>4.5727439875309139E-2</v>
      </c>
    </row>
    <row r="59" spans="1:85" ht="21" x14ac:dyDescent="0.4">
      <c r="A59" s="2">
        <v>80</v>
      </c>
      <c r="B59">
        <v>531.96</v>
      </c>
      <c r="C59">
        <v>482.21499999999997</v>
      </c>
      <c r="D59">
        <v>482.5</v>
      </c>
      <c r="E59">
        <v>444.03</v>
      </c>
      <c r="F59">
        <v>442.84</v>
      </c>
      <c r="G59">
        <v>407.4</v>
      </c>
      <c r="H59">
        <v>439.89</v>
      </c>
      <c r="I59">
        <v>396.32</v>
      </c>
      <c r="J59">
        <v>436.505</v>
      </c>
      <c r="K59">
        <v>422.95499999999998</v>
      </c>
      <c r="M59">
        <v>4486.6150000000007</v>
      </c>
      <c r="O59">
        <v>80</v>
      </c>
      <c r="P59">
        <v>531.96</v>
      </c>
      <c r="Q59">
        <v>482.21499999999997</v>
      </c>
      <c r="R59">
        <v>482.5</v>
      </c>
      <c r="S59">
        <v>444.03</v>
      </c>
      <c r="T59">
        <v>442.84</v>
      </c>
      <c r="U59">
        <v>407.4</v>
      </c>
      <c r="V59">
        <v>439.89</v>
      </c>
      <c r="W59">
        <v>396.32</v>
      </c>
      <c r="X59">
        <v>436.505</v>
      </c>
      <c r="Y59">
        <v>422.95499999999998</v>
      </c>
      <c r="AA59" s="22">
        <v>90</v>
      </c>
      <c r="AB59" s="27">
        <v>642.12087099999997</v>
      </c>
      <c r="AC59" s="27">
        <v>559.144587</v>
      </c>
      <c r="AD59" s="27">
        <v>536.85364800000002</v>
      </c>
      <c r="AE59" s="27">
        <v>529.61764800000003</v>
      </c>
      <c r="AF59" s="27">
        <v>527.96053300000005</v>
      </c>
      <c r="AG59" s="27">
        <v>527.14320999999995</v>
      </c>
      <c r="AH59" s="27">
        <v>526.66108999999994</v>
      </c>
      <c r="AI59" s="27">
        <v>526.4221</v>
      </c>
      <c r="AJ59" s="27">
        <v>526.24069499999996</v>
      </c>
      <c r="AK59" s="28">
        <v>526.04605600000002</v>
      </c>
      <c r="AM59" s="22">
        <v>90</v>
      </c>
      <c r="AN59" s="5">
        <v>556.54237999999998</v>
      </c>
      <c r="AO59" s="5">
        <v>502.79915499999998</v>
      </c>
      <c r="AP59" s="5">
        <v>485.79238500000002</v>
      </c>
      <c r="AQ59" s="5">
        <v>481.74129299999998</v>
      </c>
      <c r="AR59" s="5">
        <v>455.460083</v>
      </c>
      <c r="AS59" s="5">
        <v>467.77343500000001</v>
      </c>
      <c r="AT59" s="5">
        <v>467.453665</v>
      </c>
      <c r="AU59" s="5">
        <v>454.93739499999998</v>
      </c>
      <c r="AV59" s="5">
        <v>463.86357800000002</v>
      </c>
      <c r="AW59" s="5">
        <v>452.40000500000002</v>
      </c>
      <c r="AZ59" s="22">
        <v>90</v>
      </c>
      <c r="BA59" s="4">
        <f>AN59/AB44-1</f>
        <v>3.0725895710613127E-2</v>
      </c>
      <c r="BB59" s="4">
        <f>AO59/AC44-1</f>
        <v>3.1648729993241753E-2</v>
      </c>
      <c r="BC59" s="4">
        <f>AP59/AD44-1</f>
        <v>7.7790218090653118E-2</v>
      </c>
      <c r="BD59" s="4">
        <f>AQ59/AE44-1</f>
        <v>8.256166246724006E-2</v>
      </c>
      <c r="BE59" s="4">
        <f>AR59/AF44-1</f>
        <v>4.1527745254973825E-2</v>
      </c>
      <c r="BF59" s="4">
        <f>AS59/AG44-1</f>
        <v>0.10678767569965619</v>
      </c>
      <c r="BG59" s="4">
        <f>AT59/AH44-1</f>
        <v>8.2538520770010226E-2</v>
      </c>
      <c r="BH59" s="4">
        <f>AU59/AI44-1</f>
        <v>6.9208195257232763E-2</v>
      </c>
      <c r="BI59" s="4">
        <f>AV59/AJ44-1</f>
        <v>8.3291941084515875E-2</v>
      </c>
      <c r="BJ59" s="4">
        <f>AW59/AK44-1</f>
        <v>5.4032577388042347E-2</v>
      </c>
    </row>
    <row r="60" spans="1:85" ht="21.6" thickBot="1" x14ac:dyDescent="0.45">
      <c r="A60" s="2">
        <v>90</v>
      </c>
      <c r="B60">
        <v>531.44500000000005</v>
      </c>
      <c r="C60">
        <v>485.57</v>
      </c>
      <c r="D60">
        <v>432.3</v>
      </c>
      <c r="E60">
        <v>427.315</v>
      </c>
      <c r="F60">
        <v>436.625</v>
      </c>
      <c r="G60">
        <v>397.89499999999998</v>
      </c>
      <c r="H60">
        <v>423.39</v>
      </c>
      <c r="I60">
        <v>426.88499999999999</v>
      </c>
      <c r="J60">
        <v>430.88499999999999</v>
      </c>
      <c r="K60">
        <v>415.755</v>
      </c>
      <c r="M60">
        <v>4408.0650000000005</v>
      </c>
      <c r="O60">
        <v>90</v>
      </c>
      <c r="P60">
        <v>531.44500000000005</v>
      </c>
      <c r="Q60">
        <v>485.57</v>
      </c>
      <c r="R60">
        <v>432.3</v>
      </c>
      <c r="S60">
        <v>427.315</v>
      </c>
      <c r="T60">
        <v>436.625</v>
      </c>
      <c r="U60">
        <v>397.89499999999998</v>
      </c>
      <c r="V60">
        <v>423.39</v>
      </c>
      <c r="W60">
        <v>426.88499999999999</v>
      </c>
      <c r="X60">
        <v>430.88499999999999</v>
      </c>
      <c r="Y60">
        <v>415.755</v>
      </c>
      <c r="AA60" s="29">
        <v>100</v>
      </c>
      <c r="AB60" s="31">
        <v>642.12087099999997</v>
      </c>
      <c r="AC60" s="31">
        <v>559.144587</v>
      </c>
      <c r="AD60" s="31">
        <v>536.85364800000002</v>
      </c>
      <c r="AE60" s="31">
        <v>529.61764800000003</v>
      </c>
      <c r="AF60" s="31">
        <v>529.774316</v>
      </c>
      <c r="AG60" s="31">
        <v>531.63013899999999</v>
      </c>
      <c r="AH60" s="31">
        <v>533.10001799999998</v>
      </c>
      <c r="AI60" s="31">
        <v>534.10526300000004</v>
      </c>
      <c r="AJ60" s="31">
        <v>534.86854200000005</v>
      </c>
      <c r="AK60" s="32">
        <v>535.71284200000002</v>
      </c>
      <c r="AM60" s="29">
        <v>100</v>
      </c>
      <c r="AN60" s="5">
        <v>549.27241800000002</v>
      </c>
      <c r="AO60" s="5">
        <v>499.21096499999999</v>
      </c>
      <c r="AP60" s="5">
        <v>475.323105</v>
      </c>
      <c r="AQ60" s="5">
        <v>466.00675799999999</v>
      </c>
      <c r="AR60" s="5">
        <v>468.23005999999998</v>
      </c>
      <c r="AS60" s="5">
        <v>463.40703999999999</v>
      </c>
      <c r="AT60" s="5">
        <v>469.819455</v>
      </c>
      <c r="AU60" s="5">
        <v>475.38673499999999</v>
      </c>
      <c r="AV60" s="5">
        <v>468.27418</v>
      </c>
      <c r="AW60" s="5">
        <v>480.86168500000002</v>
      </c>
      <c r="AZ60" s="29">
        <v>100</v>
      </c>
      <c r="BA60" s="4">
        <f>AN60/AB45-1</f>
        <v>3.4898573716439119E-2</v>
      </c>
      <c r="BB60" s="4">
        <f>AO60/AC45-1</f>
        <v>4.6122500726894611E-2</v>
      </c>
      <c r="BC60" s="4">
        <f>AP60/AD45-1</f>
        <v>5.4257299581217611E-2</v>
      </c>
      <c r="BD60" s="4">
        <f>AQ60/AE45-1</f>
        <v>6.3796644295302185E-2</v>
      </c>
      <c r="BE60" s="4">
        <f>AR60/AF45-1</f>
        <v>7.0813787386099447E-2</v>
      </c>
      <c r="BF60" s="4">
        <f>AS60/AG45-1</f>
        <v>0.10998523016304285</v>
      </c>
      <c r="BG60" s="4">
        <f>AT60/AH45-1</f>
        <v>0.13952083532295534</v>
      </c>
      <c r="BH60" s="4">
        <f>AU60/AI45-1</f>
        <v>0.14281666854477004</v>
      </c>
      <c r="BI60" s="4">
        <f>AV60/AJ45-1</f>
        <v>0.10809373645827658</v>
      </c>
      <c r="BJ60" s="4">
        <f>AW60/AK45-1</f>
        <v>0.12443962217548687</v>
      </c>
    </row>
    <row r="61" spans="1:85" ht="21" x14ac:dyDescent="0.4">
      <c r="A61" s="2">
        <v>100</v>
      </c>
      <c r="B61">
        <v>526.71</v>
      </c>
      <c r="C61">
        <v>467.75</v>
      </c>
      <c r="D61">
        <v>457.78</v>
      </c>
      <c r="E61">
        <v>447.48</v>
      </c>
      <c r="F61">
        <v>421.02</v>
      </c>
      <c r="G61">
        <v>404.05500000000001</v>
      </c>
      <c r="H61">
        <v>405.27499999999998</v>
      </c>
      <c r="I61">
        <v>403.54500000000002</v>
      </c>
      <c r="J61">
        <v>413.82</v>
      </c>
      <c r="K61">
        <v>417.64</v>
      </c>
      <c r="M61">
        <v>4365.0749999999998</v>
      </c>
      <c r="O61">
        <v>100</v>
      </c>
      <c r="P61">
        <v>526.71</v>
      </c>
      <c r="Q61">
        <v>467.75</v>
      </c>
      <c r="R61">
        <v>457.78</v>
      </c>
      <c r="S61">
        <v>447.48</v>
      </c>
      <c r="T61">
        <v>421.02</v>
      </c>
      <c r="U61">
        <v>404.05500000000001</v>
      </c>
      <c r="V61">
        <v>405.27499999999998</v>
      </c>
      <c r="W61">
        <v>403.54500000000002</v>
      </c>
      <c r="X61">
        <v>413.82</v>
      </c>
      <c r="Y61">
        <v>417.64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</row>
    <row r="62" spans="1:85" ht="21.6" thickBot="1" x14ac:dyDescent="0.45">
      <c r="A62" s="2" t="s">
        <v>22</v>
      </c>
      <c r="AA62" t="s">
        <v>34</v>
      </c>
      <c r="AM62" s="56"/>
      <c r="AN62" s="57"/>
      <c r="AO62" s="57"/>
      <c r="AP62" s="57"/>
      <c r="AQ62" s="57"/>
      <c r="AR62" s="57"/>
      <c r="AS62" s="57"/>
      <c r="AT62" s="57"/>
      <c r="AU62" s="57"/>
      <c r="AV62" s="57"/>
      <c r="AW62" s="57"/>
    </row>
    <row r="63" spans="1:85" ht="21.6" thickBot="1" x14ac:dyDescent="0.45">
      <c r="A63" s="2" t="s">
        <v>19</v>
      </c>
      <c r="B63">
        <v>6385.0550000000003</v>
      </c>
      <c r="C63">
        <v>5801.0050000000001</v>
      </c>
      <c r="D63">
        <v>5603.1149999999998</v>
      </c>
      <c r="E63">
        <v>5462.7949999999983</v>
      </c>
      <c r="F63">
        <v>5441.3150000000005</v>
      </c>
      <c r="G63">
        <v>5314.7350000000006</v>
      </c>
      <c r="H63">
        <v>5346.27</v>
      </c>
      <c r="I63">
        <v>5297.4650000000001</v>
      </c>
      <c r="J63">
        <v>5292.4349999999995</v>
      </c>
      <c r="K63">
        <v>5315.8550000000005</v>
      </c>
      <c r="M63">
        <v>55260.044999999998</v>
      </c>
      <c r="AA63" s="17"/>
      <c r="AB63" s="50"/>
      <c r="AC63" s="51"/>
      <c r="AD63" s="51"/>
      <c r="AE63" s="51"/>
      <c r="AF63" s="51"/>
      <c r="AG63" s="51"/>
      <c r="AH63" s="51"/>
      <c r="AI63" s="51"/>
      <c r="AJ63" s="51"/>
      <c r="AK63" s="52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</row>
    <row r="64" spans="1:85" ht="21.6" thickBot="1" x14ac:dyDescent="0.45">
      <c r="AA64" s="18"/>
      <c r="AB64" s="53" t="s">
        <v>33</v>
      </c>
      <c r="AC64" s="54"/>
      <c r="AD64" s="54"/>
      <c r="AE64" s="54"/>
      <c r="AF64" s="54"/>
      <c r="AG64" s="54"/>
      <c r="AH64" s="54"/>
      <c r="AI64" s="54"/>
      <c r="AJ64" s="54"/>
      <c r="AK64" s="55"/>
      <c r="AM64" s="18"/>
      <c r="AN64" s="53" t="s">
        <v>33</v>
      </c>
      <c r="AO64" s="54"/>
      <c r="AP64" s="54"/>
      <c r="AQ64" s="54"/>
      <c r="AR64" s="54"/>
      <c r="AS64" s="54"/>
      <c r="AT64" s="54"/>
      <c r="AU64" s="54"/>
      <c r="AV64" s="54"/>
      <c r="AW64" s="55"/>
      <c r="AZ64" t="s">
        <v>45</v>
      </c>
      <c r="BX64" s="5"/>
      <c r="BY64" s="5"/>
      <c r="BZ64" s="5"/>
      <c r="CA64" s="5"/>
      <c r="CB64" s="5"/>
      <c r="CC64" s="5"/>
      <c r="CD64" s="5"/>
      <c r="CE64" s="5"/>
      <c r="CF64" s="5"/>
      <c r="CG64" s="5"/>
    </row>
    <row r="65" spans="1:85" ht="21.6" thickBot="1" x14ac:dyDescent="0.45">
      <c r="A65">
        <v>6</v>
      </c>
      <c r="AA65" s="19" t="s">
        <v>16</v>
      </c>
      <c r="AB65" s="20">
        <v>10</v>
      </c>
      <c r="AC65" s="20">
        <v>20</v>
      </c>
      <c r="AD65" s="20">
        <v>30</v>
      </c>
      <c r="AE65" s="20">
        <v>40</v>
      </c>
      <c r="AF65" s="20">
        <v>50</v>
      </c>
      <c r="AG65" s="20">
        <v>60</v>
      </c>
      <c r="AH65" s="20">
        <v>70</v>
      </c>
      <c r="AI65" s="20">
        <v>80</v>
      </c>
      <c r="AJ65" s="20">
        <v>90</v>
      </c>
      <c r="AK65" s="21">
        <v>100</v>
      </c>
      <c r="AM65" s="19" t="s">
        <v>16</v>
      </c>
      <c r="AN65" s="20">
        <v>10</v>
      </c>
      <c r="AO65" s="20">
        <v>20</v>
      </c>
      <c r="AP65" s="20">
        <v>30</v>
      </c>
      <c r="AQ65" s="20">
        <v>40</v>
      </c>
      <c r="AR65" s="20">
        <v>50</v>
      </c>
      <c r="AS65" s="20">
        <v>60</v>
      </c>
      <c r="AT65" s="20">
        <v>70</v>
      </c>
      <c r="AU65" s="20">
        <v>80</v>
      </c>
      <c r="AV65" s="20">
        <v>90</v>
      </c>
      <c r="AW65" s="21">
        <v>100</v>
      </c>
      <c r="AZ65" s="18"/>
      <c r="BA65" s="53" t="s">
        <v>33</v>
      </c>
      <c r="BB65" s="54"/>
      <c r="BC65" s="54"/>
      <c r="BD65" s="54"/>
      <c r="BE65" s="54"/>
      <c r="BF65" s="54"/>
      <c r="BG65" s="54"/>
      <c r="BH65" s="54"/>
      <c r="BI65" s="54"/>
      <c r="BJ65" s="55"/>
      <c r="BX65" s="5"/>
      <c r="BY65" s="5"/>
      <c r="BZ65" s="5"/>
      <c r="CA65" s="5"/>
      <c r="CB65" s="5"/>
      <c r="CC65" s="5"/>
      <c r="CD65" s="5"/>
      <c r="CE65" s="5"/>
      <c r="CF65" s="5"/>
      <c r="CG65" s="5"/>
    </row>
    <row r="66" spans="1:85" ht="21.6" thickBot="1" x14ac:dyDescent="0.45">
      <c r="A66" s="1" t="s">
        <v>28</v>
      </c>
      <c r="B66" s="1" t="s">
        <v>20</v>
      </c>
      <c r="O66" t="s">
        <v>28</v>
      </c>
      <c r="P66" t="s">
        <v>20</v>
      </c>
      <c r="AA66" s="22">
        <v>10</v>
      </c>
      <c r="AB66" s="27">
        <f>AB51-(96.2*AZ3)</f>
        <v>188.40452156600008</v>
      </c>
      <c r="AC66" s="27">
        <f>AC51-(96.2*BA3)</f>
        <v>189.61653605399999</v>
      </c>
      <c r="AD66" s="27">
        <f>AD51-(96.2*BB3)</f>
        <v>189.81798671600006</v>
      </c>
      <c r="AE66" s="27">
        <f>AE51-(96.2*BC3)</f>
        <v>189.85530381600017</v>
      </c>
      <c r="AF66" s="27">
        <f>AF51-(96.2*BD3)</f>
        <v>189.80746160399997</v>
      </c>
      <c r="AG66" s="27">
        <f>AG51-(96.2*BE3)</f>
        <v>189.78048160000003</v>
      </c>
      <c r="AH66" s="27">
        <f>AH51-(96.2*BF3)</f>
        <v>189.766922034</v>
      </c>
      <c r="AI66" s="27">
        <f>AI51-(96.2*BG3)</f>
        <v>189.76135133399998</v>
      </c>
      <c r="AJ66" s="27">
        <f>AJ51-(96.2*BH3)</f>
        <v>189.75901432199987</v>
      </c>
      <c r="AK66" s="28">
        <f>AK51-(96.2*BI3)</f>
        <v>189.75816976600004</v>
      </c>
      <c r="AM66" s="22">
        <v>10</v>
      </c>
      <c r="AN66" s="5">
        <f>AN51-AN3*96.2</f>
        <v>189.50946222222251</v>
      </c>
      <c r="AO66" s="5">
        <f>AO51-AO3*96.2</f>
        <v>219.68242611111123</v>
      </c>
      <c r="AP66" s="5">
        <f>AP51-AP3*96.2</f>
        <v>224.7005555555553</v>
      </c>
      <c r="AQ66" s="5">
        <f>AQ51-AQ3*96.2</f>
        <v>231.28195611111107</v>
      </c>
      <c r="AR66" s="5">
        <f>AR51-AR3*96.2</f>
        <v>225.98045666666678</v>
      </c>
      <c r="AS66" s="5">
        <f>AS51-AS3*96.2</f>
        <v>220.41784333333339</v>
      </c>
      <c r="AT66" s="5">
        <f>AT51-AT3*96.2</f>
        <v>232.81183166666642</v>
      </c>
      <c r="AU66" s="5">
        <f>AU51-AU3*96.2</f>
        <v>244.77411388888879</v>
      </c>
      <c r="AV66" s="5">
        <f>AV51-AV3*96.2</f>
        <v>234.368605</v>
      </c>
      <c r="AW66" s="5">
        <f>AW51-AW3*96.2</f>
        <v>236.42623777777771</v>
      </c>
      <c r="AZ66" s="19" t="s">
        <v>16</v>
      </c>
      <c r="BA66" s="20">
        <v>10</v>
      </c>
      <c r="BB66" s="20">
        <v>20</v>
      </c>
      <c r="BC66" s="20">
        <v>30</v>
      </c>
      <c r="BD66" s="20">
        <v>40</v>
      </c>
      <c r="BE66" s="20">
        <v>50</v>
      </c>
      <c r="BF66" s="20">
        <v>60</v>
      </c>
      <c r="BG66" s="20">
        <v>70</v>
      </c>
      <c r="BH66" s="20">
        <v>80</v>
      </c>
      <c r="BI66" s="20">
        <v>90</v>
      </c>
      <c r="BJ66" s="21">
        <v>100</v>
      </c>
      <c r="BX66" s="5"/>
      <c r="BY66" s="5"/>
      <c r="BZ66" s="5"/>
      <c r="CA66" s="5"/>
      <c r="CB66" s="5"/>
      <c r="CC66" s="5"/>
      <c r="CD66" s="5"/>
      <c r="CE66" s="5"/>
      <c r="CF66" s="5"/>
      <c r="CG66" s="5"/>
    </row>
    <row r="67" spans="1:85" ht="21" x14ac:dyDescent="0.4">
      <c r="A67" s="1" t="s">
        <v>18</v>
      </c>
      <c r="B67">
        <v>10</v>
      </c>
      <c r="C67">
        <v>20</v>
      </c>
      <c r="D67">
        <v>30</v>
      </c>
      <c r="E67">
        <v>40</v>
      </c>
      <c r="F67">
        <v>50</v>
      </c>
      <c r="G67">
        <v>60</v>
      </c>
      <c r="H67">
        <v>70</v>
      </c>
      <c r="I67">
        <v>80</v>
      </c>
      <c r="J67">
        <v>90</v>
      </c>
      <c r="K67">
        <v>100</v>
      </c>
      <c r="L67" t="s">
        <v>22</v>
      </c>
      <c r="M67" t="s">
        <v>19</v>
      </c>
      <c r="O67" t="s">
        <v>18</v>
      </c>
      <c r="P67">
        <v>10</v>
      </c>
      <c r="Q67">
        <v>20</v>
      </c>
      <c r="R67">
        <v>30</v>
      </c>
      <c r="S67">
        <v>40</v>
      </c>
      <c r="T67">
        <v>50</v>
      </c>
      <c r="U67">
        <v>60</v>
      </c>
      <c r="V67">
        <v>70</v>
      </c>
      <c r="W67">
        <v>80</v>
      </c>
      <c r="X67">
        <v>90</v>
      </c>
      <c r="Y67">
        <v>100</v>
      </c>
      <c r="AA67" s="22">
        <v>20</v>
      </c>
      <c r="AB67" s="27">
        <f>AB52-(96.2*AZ4)</f>
        <v>241.26041630200001</v>
      </c>
      <c r="AC67" s="27">
        <f>AC52-(96.2*BA4)</f>
        <v>246.15017427799995</v>
      </c>
      <c r="AD67" s="27">
        <f>AD52-(96.2*BB4)</f>
        <v>247.58579560199996</v>
      </c>
      <c r="AE67" s="27">
        <f>AE52-(96.2*BC4)</f>
        <v>248.36716480200005</v>
      </c>
      <c r="AF67" s="27">
        <f>AF52-(96.2*BD4)</f>
        <v>248.80719137799997</v>
      </c>
      <c r="AG67" s="27">
        <f>AG52-(96.2*BE4)</f>
        <v>249.14883740799996</v>
      </c>
      <c r="AH67" s="27">
        <f>AH52-(96.2*BF4)</f>
        <v>249.38260727599999</v>
      </c>
      <c r="AI67" s="27">
        <f>AI52-(96.2*BG4)</f>
        <v>249.55977983800005</v>
      </c>
      <c r="AJ67" s="27">
        <f>AJ52-(96.2*BH4)</f>
        <v>249.68502077599999</v>
      </c>
      <c r="AK67" s="28">
        <f>AK52-(96.2*BI4)</f>
        <v>249.79493874000002</v>
      </c>
      <c r="AM67" s="22">
        <v>20</v>
      </c>
      <c r="AN67" s="5">
        <f>AN52-AN4*96.2</f>
        <v>224.84473666666656</v>
      </c>
      <c r="AO67" s="5">
        <f>AO52-AO4*96.2</f>
        <v>232.37386244444451</v>
      </c>
      <c r="AP67" s="5">
        <f>AP52-AP4*96.2</f>
        <v>244.58027911111111</v>
      </c>
      <c r="AQ67" s="5">
        <f>AQ52-AQ4*96.2</f>
        <v>235.3570299999999</v>
      </c>
      <c r="AR67" s="5">
        <f>AR52-AR4*96.2</f>
        <v>253.35076222222233</v>
      </c>
      <c r="AS67" s="5">
        <f>AS52-AS4*96.2</f>
        <v>246.04557166666672</v>
      </c>
      <c r="AT67" s="5">
        <f>AT52-AT4*96.2</f>
        <v>239.51157444444448</v>
      </c>
      <c r="AU67" s="5">
        <f>AU52-AU4*96.2</f>
        <v>252.19546755555552</v>
      </c>
      <c r="AV67" s="5">
        <f>AV52-AV4*96.2</f>
        <v>252.49817555555541</v>
      </c>
      <c r="AW67" s="5">
        <f>AW52-AW4*96.2</f>
        <v>241.99215722222232</v>
      </c>
      <c r="AZ67" s="22">
        <v>10</v>
      </c>
      <c r="BA67" s="5">
        <f>AN66-AN20</f>
        <v>12.959090000000288</v>
      </c>
      <c r="BB67" s="5">
        <f>AO66-AO20</f>
        <v>22.72429000000011</v>
      </c>
      <c r="BC67" s="5">
        <f>AP66-AP20</f>
        <v>22.566749999999729</v>
      </c>
      <c r="BD67" s="5">
        <f>AQ66-AQ20</f>
        <v>25.225220000000263</v>
      </c>
      <c r="BE67" s="5">
        <f>AR66-AR20</f>
        <v>16.397690000000011</v>
      </c>
      <c r="BF67" s="5">
        <f>AS66-AS20</f>
        <v>12.476059999999961</v>
      </c>
      <c r="BG67" s="5">
        <f>AT66-AT20</f>
        <v>22.320714999999836</v>
      </c>
      <c r="BH67" s="5">
        <f>AU66-AU20</f>
        <v>29.160024999999905</v>
      </c>
      <c r="BI67" s="5">
        <f>AV66-AV20</f>
        <v>20.190804999999955</v>
      </c>
      <c r="BJ67" s="5">
        <f>AW66-AW20</f>
        <v>20.055010000000038</v>
      </c>
      <c r="BX67" s="5"/>
      <c r="BY67" s="5"/>
      <c r="BZ67" s="5"/>
      <c r="CA67" s="5"/>
      <c r="CB67" s="5"/>
      <c r="CC67" s="5"/>
      <c r="CD67" s="5"/>
      <c r="CE67" s="5"/>
      <c r="CF67" s="5"/>
      <c r="CG67" s="5"/>
    </row>
    <row r="68" spans="1:85" ht="21" x14ac:dyDescent="0.4">
      <c r="A68" s="2">
        <v>10</v>
      </c>
      <c r="B68">
        <v>1161.2</v>
      </c>
      <c r="C68">
        <v>1131.67</v>
      </c>
      <c r="D68">
        <v>1117.345</v>
      </c>
      <c r="E68">
        <v>1106.83</v>
      </c>
      <c r="F68">
        <v>1098.8699999999999</v>
      </c>
      <c r="G68">
        <v>1089.2149999999999</v>
      </c>
      <c r="H68">
        <v>1098.0899999999999</v>
      </c>
      <c r="I68">
        <v>1096.825</v>
      </c>
      <c r="J68">
        <v>1097.115</v>
      </c>
      <c r="K68">
        <v>1099.18</v>
      </c>
      <c r="M68">
        <v>11096.34</v>
      </c>
      <c r="O68">
        <v>10</v>
      </c>
      <c r="P68">
        <v>1161.2</v>
      </c>
      <c r="Q68">
        <v>1131.67</v>
      </c>
      <c r="R68">
        <v>1117.345</v>
      </c>
      <c r="S68">
        <v>1106.83</v>
      </c>
      <c r="T68">
        <v>1098.8699999999999</v>
      </c>
      <c r="U68">
        <v>1089.2149999999999</v>
      </c>
      <c r="V68">
        <v>1098.0899999999999</v>
      </c>
      <c r="W68">
        <v>1096.825</v>
      </c>
      <c r="X68">
        <v>1097.115</v>
      </c>
      <c r="Y68">
        <v>1099.18</v>
      </c>
      <c r="AA68" s="22">
        <v>30</v>
      </c>
      <c r="AB68" s="27">
        <f>AB53-(96.2*AZ5)</f>
        <v>260.71617586800005</v>
      </c>
      <c r="AC68" s="27">
        <f>AC53-(96.2*BA5)</f>
        <v>270.43426133199995</v>
      </c>
      <c r="AD68" s="27">
        <f>AD53-(96.2*BB5)</f>
        <v>273.49035124200003</v>
      </c>
      <c r="AE68" s="27">
        <f>AE53-(96.2*BC5)</f>
        <v>275.09009657999997</v>
      </c>
      <c r="AF68" s="27">
        <f>AF53-(96.2*BD5)</f>
        <v>276.02678694399992</v>
      </c>
      <c r="AG68" s="27">
        <f>AG53-(96.2*BE5)</f>
        <v>276.58613700799998</v>
      </c>
      <c r="AH68" s="27">
        <f>AH53-(96.2*BF5)</f>
        <v>277.01270530999994</v>
      </c>
      <c r="AI68" s="27">
        <f>AI53-(96.2*BG5)</f>
        <v>277.26211817199999</v>
      </c>
      <c r="AJ68" s="27">
        <f>AJ53-(96.2*BH5)</f>
        <v>277.46563509799995</v>
      </c>
      <c r="AK68" s="28">
        <f>AK53-(96.2*BI5)</f>
        <v>277.63446354399997</v>
      </c>
      <c r="AM68" s="22">
        <v>30</v>
      </c>
      <c r="AN68" s="5">
        <f>AN53-AN5*96.2</f>
        <v>224.70691811111107</v>
      </c>
      <c r="AO68" s="5">
        <f>AO53-AO5*96.2</f>
        <v>255.68769111111101</v>
      </c>
      <c r="AP68" s="5">
        <f>AP53-AP5*96.2</f>
        <v>263.06192722222221</v>
      </c>
      <c r="AQ68" s="5">
        <f>AQ53-AQ5*96.2</f>
        <v>259.17307777777773</v>
      </c>
      <c r="AR68" s="5">
        <f>AR53-AR5*96.2</f>
        <v>267.28635055555554</v>
      </c>
      <c r="AS68" s="5">
        <f>AS53-AS5*96.2</f>
        <v>272.85983722222221</v>
      </c>
      <c r="AT68" s="5">
        <f>AT53-AT5*96.2</f>
        <v>266.86046722222216</v>
      </c>
      <c r="AU68" s="5">
        <f>AU53-AU5*96.2</f>
        <v>269.42066333333338</v>
      </c>
      <c r="AV68" s="5">
        <f>AV53-AV5*96.2</f>
        <v>272.19284533333337</v>
      </c>
      <c r="AW68" s="5">
        <f>AW53-AW5*96.2</f>
        <v>261.67223411111109</v>
      </c>
      <c r="AZ68" s="22">
        <v>20</v>
      </c>
      <c r="BA68" s="5">
        <f>AN67-AN21</f>
        <v>25.737644999999929</v>
      </c>
      <c r="BB68" s="5">
        <f>AO67-AO21</f>
        <v>14.282467999999881</v>
      </c>
      <c r="BC68" s="5">
        <f>AP67-AP21</f>
        <v>26.497942999999964</v>
      </c>
      <c r="BD68" s="5">
        <f>AQ67-AQ21</f>
        <v>8.4804799999999432</v>
      </c>
      <c r="BE68" s="5">
        <f>AR67-AR21</f>
        <v>23.807940000000031</v>
      </c>
      <c r="BF68" s="5">
        <f>AS67-AS21</f>
        <v>18.655679999999961</v>
      </c>
      <c r="BG68" s="5">
        <f>AT67-AT21</f>
        <v>9.573729999999955</v>
      </c>
      <c r="BH68" s="5">
        <f>AU67-AU21</f>
        <v>21.681862000000024</v>
      </c>
      <c r="BI68" s="5">
        <f>AV67-AV21</f>
        <v>20.798294999999939</v>
      </c>
      <c r="BJ68" s="5">
        <f>AW67-AW21</f>
        <v>14.719560000000001</v>
      </c>
      <c r="BX68" s="5"/>
      <c r="BY68" s="5"/>
      <c r="BZ68" s="5"/>
      <c r="CA68" s="5"/>
      <c r="CB68" s="5"/>
      <c r="CC68" s="5"/>
      <c r="CD68" s="5"/>
      <c r="CE68" s="5"/>
      <c r="CF68" s="5"/>
      <c r="CG68" s="5"/>
    </row>
    <row r="69" spans="1:85" ht="21" x14ac:dyDescent="0.4">
      <c r="A69" s="2">
        <v>20</v>
      </c>
      <c r="B69">
        <v>795.72</v>
      </c>
      <c r="C69">
        <v>743.82</v>
      </c>
      <c r="D69">
        <v>731.23500000000001</v>
      </c>
      <c r="E69">
        <v>706</v>
      </c>
      <c r="F69">
        <v>716.48500000000001</v>
      </c>
      <c r="G69">
        <v>707.75</v>
      </c>
      <c r="H69">
        <v>706.245</v>
      </c>
      <c r="I69">
        <v>708.46500000000003</v>
      </c>
      <c r="J69">
        <v>704.01499999999999</v>
      </c>
      <c r="K69">
        <v>704.7</v>
      </c>
      <c r="M69">
        <v>7224.4350000000004</v>
      </c>
      <c r="O69">
        <v>20</v>
      </c>
      <c r="P69">
        <v>795.72</v>
      </c>
      <c r="Q69">
        <v>743.82</v>
      </c>
      <c r="R69">
        <v>731.23500000000001</v>
      </c>
      <c r="S69">
        <v>706</v>
      </c>
      <c r="T69">
        <v>716.48500000000001</v>
      </c>
      <c r="U69">
        <v>707.75</v>
      </c>
      <c r="V69">
        <v>706.245</v>
      </c>
      <c r="W69">
        <v>708.46500000000003</v>
      </c>
      <c r="X69">
        <v>704.01499999999999</v>
      </c>
      <c r="Y69">
        <v>704.7</v>
      </c>
      <c r="AA69" s="22">
        <v>40</v>
      </c>
      <c r="AB69" s="27">
        <f>AB54-(96.2*AZ6)</f>
        <v>268.72638513200002</v>
      </c>
      <c r="AC69" s="27">
        <f>AC54-(96.2*BA6)</f>
        <v>285.543664122</v>
      </c>
      <c r="AD69" s="27">
        <f>AD54-(96.2*BB6)</f>
        <v>290.85877077000004</v>
      </c>
      <c r="AE69" s="27">
        <f>AE54-(96.2*BC6)</f>
        <v>293.75783717000002</v>
      </c>
      <c r="AF69" s="27">
        <f>AF54-(96.2*BD6)</f>
        <v>295.43174328399999</v>
      </c>
      <c r="AG69" s="27">
        <f>AG54-(96.2*BE6)</f>
        <v>296.45708330600007</v>
      </c>
      <c r="AH69" s="27">
        <f>AH54-(96.2*BF6)</f>
        <v>297.16635008000003</v>
      </c>
      <c r="AI69" s="27">
        <f>AI54-(96.2*BG6)</f>
        <v>297.63242424199996</v>
      </c>
      <c r="AJ69" s="27">
        <f>AJ54-(96.2*BH6)</f>
        <v>297.98572911799994</v>
      </c>
      <c r="AK69" s="28">
        <f>AK54-(96.2*BI6)</f>
        <v>298.32395008400005</v>
      </c>
      <c r="AM69" s="22">
        <v>40</v>
      </c>
      <c r="AN69" s="5">
        <f>AN54-AN6*96.2</f>
        <v>246.8423653333333</v>
      </c>
      <c r="AO69" s="5">
        <f>AO54-AO6*96.2</f>
        <v>266.4293761111112</v>
      </c>
      <c r="AP69" s="5">
        <f>AP54-AP6*96.2</f>
        <v>272.46179555555551</v>
      </c>
      <c r="AQ69" s="5">
        <f>AQ54-AQ6*96.2</f>
        <v>278.04459277777772</v>
      </c>
      <c r="AR69" s="5">
        <f>AR54-AR6*96.2</f>
        <v>273.89014888888892</v>
      </c>
      <c r="AS69" s="5">
        <f>AS54-AS6*96.2</f>
        <v>265.92989833333331</v>
      </c>
      <c r="AT69" s="5">
        <f>AT54-AT6*96.2</f>
        <v>266.48776666666674</v>
      </c>
      <c r="AU69" s="5">
        <f>AU54-AU6*96.2</f>
        <v>301.21236500000003</v>
      </c>
      <c r="AV69" s="5">
        <f>AV54-AV6*96.2</f>
        <v>283.27089522222218</v>
      </c>
      <c r="AW69" s="5">
        <f>AW54-AW6*96.2</f>
        <v>273.96623833333331</v>
      </c>
      <c r="AZ69" s="22">
        <v>30</v>
      </c>
      <c r="BA69" s="5">
        <f>AN68-AN22</f>
        <v>17.417607000000089</v>
      </c>
      <c r="BB69" s="5">
        <f>AO68-AO22</f>
        <v>24.388454999999908</v>
      </c>
      <c r="BC69" s="5">
        <f>AP68-AP22</f>
        <v>26.270280000000184</v>
      </c>
      <c r="BD69" s="5">
        <f>AQ68-AQ22</f>
        <v>19.447699999999941</v>
      </c>
      <c r="BE69" s="5">
        <f>AR68-AR22</f>
        <v>24.248119999999972</v>
      </c>
      <c r="BF69" s="5">
        <f>AS68-AS22</f>
        <v>31.270164999999906</v>
      </c>
      <c r="BG69" s="5">
        <f>AT68-AT22</f>
        <v>21.082019999999943</v>
      </c>
      <c r="BH69" s="5">
        <f>AU68-AU22</f>
        <v>23.890355000000227</v>
      </c>
      <c r="BI69" s="5">
        <f>AV68-AV22</f>
        <v>25.438437000000249</v>
      </c>
      <c r="BJ69" s="5">
        <f>AW68-AW22</f>
        <v>15.402047999999922</v>
      </c>
      <c r="BX69" s="5"/>
      <c r="BY69" s="5"/>
      <c r="BZ69" s="5"/>
      <c r="CA69" s="5"/>
      <c r="CB69" s="5"/>
      <c r="CC69" s="5"/>
      <c r="CD69" s="5"/>
      <c r="CE69" s="5"/>
      <c r="CF69" s="5"/>
      <c r="CG69" s="5"/>
    </row>
    <row r="70" spans="1:85" ht="21" x14ac:dyDescent="0.4">
      <c r="A70" s="2">
        <v>30</v>
      </c>
      <c r="B70">
        <v>700.55499999999995</v>
      </c>
      <c r="C70">
        <v>637.245</v>
      </c>
      <c r="D70">
        <v>602.13</v>
      </c>
      <c r="E70">
        <v>603.11500000000001</v>
      </c>
      <c r="F70">
        <v>593.73</v>
      </c>
      <c r="G70">
        <v>577.1</v>
      </c>
      <c r="H70">
        <v>592.04</v>
      </c>
      <c r="I70">
        <v>573.755</v>
      </c>
      <c r="J70">
        <v>594.4</v>
      </c>
      <c r="K70">
        <v>564.87</v>
      </c>
      <c r="M70">
        <v>6038.94</v>
      </c>
      <c r="O70">
        <v>30</v>
      </c>
      <c r="P70">
        <v>700.55499999999995</v>
      </c>
      <c r="Q70">
        <v>637.245</v>
      </c>
      <c r="R70">
        <v>602.13</v>
      </c>
      <c r="S70">
        <v>603.11500000000001</v>
      </c>
      <c r="T70">
        <v>593.73</v>
      </c>
      <c r="U70">
        <v>577.1</v>
      </c>
      <c r="V70">
        <v>592.04</v>
      </c>
      <c r="W70">
        <v>573.755</v>
      </c>
      <c r="X70">
        <v>594.4</v>
      </c>
      <c r="Y70">
        <v>564.87</v>
      </c>
      <c r="AA70" s="22">
        <v>50</v>
      </c>
      <c r="AB70" s="27">
        <f>AB55-(96.2*AZ7)</f>
        <v>269.53987657799996</v>
      </c>
      <c r="AC70" s="27">
        <f>AC55-(96.2*BA7)</f>
        <v>296.19906521399997</v>
      </c>
      <c r="AD70" s="27">
        <f>AD55-(96.2*BB7)</f>
        <v>304.87948244799998</v>
      </c>
      <c r="AE70" s="27">
        <f>AE55-(96.2*BC7)</f>
        <v>309.79896394799994</v>
      </c>
      <c r="AF70" s="27">
        <f>AF55-(96.2*BD7)</f>
        <v>312.65552788800005</v>
      </c>
      <c r="AG70" s="27">
        <f>AG55-(96.2*BE7)</f>
        <v>314.402947982</v>
      </c>
      <c r="AH70" s="27">
        <f>AH55-(96.2*BF7)</f>
        <v>315.63527115199997</v>
      </c>
      <c r="AI70" s="27">
        <f>AI55-(96.2*BG7)</f>
        <v>316.447107614</v>
      </c>
      <c r="AJ70" s="27">
        <f>AJ55-(96.2*BH7)</f>
        <v>317.00836947799996</v>
      </c>
      <c r="AK70" s="28">
        <f>AK55-(96.2*BI7)</f>
        <v>317.60200588800001</v>
      </c>
      <c r="AM70" s="22">
        <v>50</v>
      </c>
      <c r="AN70" s="5">
        <f>AN55-AN7*96.2</f>
        <v>244.06870444444445</v>
      </c>
      <c r="AO70" s="5">
        <f>AO55-AO7*96.2</f>
        <v>279.61392555555551</v>
      </c>
      <c r="AP70" s="5">
        <f>AP55-AP7*96.2</f>
        <v>284.97533255555561</v>
      </c>
      <c r="AQ70" s="5">
        <f>AQ55-AQ7*96.2</f>
        <v>299.67535944444444</v>
      </c>
      <c r="AR70" s="5">
        <f>AR55-AR7*96.2</f>
        <v>311.81073722222226</v>
      </c>
      <c r="AS70" s="5">
        <f>AS55-AS7*96.2</f>
        <v>302.09908866666666</v>
      </c>
      <c r="AT70" s="5">
        <f>AT55-AT7*96.2</f>
        <v>305.03136077777776</v>
      </c>
      <c r="AU70" s="5">
        <f>AU55-AU7*96.2</f>
        <v>311.89039444444438</v>
      </c>
      <c r="AV70" s="5">
        <f>AV55-AV7*96.2</f>
        <v>302.58146111111114</v>
      </c>
      <c r="AW70" s="5">
        <f>AW55-AW7*96.2</f>
        <v>303.03662477777766</v>
      </c>
      <c r="AZ70" s="22">
        <v>40</v>
      </c>
      <c r="BA70" s="5">
        <f>AN69-AN23</f>
        <v>30.391631999999959</v>
      </c>
      <c r="BB70" s="5">
        <f>AO69-AO23</f>
        <v>22.166589999999928</v>
      </c>
      <c r="BC70" s="5">
        <f>AP69-AP23</f>
        <v>21.900190000000066</v>
      </c>
      <c r="BD70" s="5">
        <f>AQ69-AQ23</f>
        <v>22.249740000000088</v>
      </c>
      <c r="BE70" s="5">
        <f>AR69-AR23</f>
        <v>21.419484999999952</v>
      </c>
      <c r="BF70" s="5">
        <f>AS69-AS23</f>
        <v>15.969415000000055</v>
      </c>
      <c r="BG70" s="5">
        <f>AT69-AT23</f>
        <v>12.319575000000185</v>
      </c>
      <c r="BH70" s="5">
        <f>AU69-AU23</f>
        <v>25.65878999999984</v>
      </c>
      <c r="BI70" s="5">
        <f>AV69-AV23</f>
        <v>20.103447999999958</v>
      </c>
      <c r="BJ70" s="5">
        <f>AW69-AW23</f>
        <v>13.276004999999941</v>
      </c>
      <c r="BX70" s="5"/>
      <c r="BY70" s="5"/>
      <c r="BZ70" s="5"/>
      <c r="CA70" s="5"/>
      <c r="CB70" s="5"/>
      <c r="CC70" s="5"/>
      <c r="CD70" s="5"/>
      <c r="CE70" s="5"/>
      <c r="CF70" s="5"/>
      <c r="CG70" s="5"/>
    </row>
    <row r="71" spans="1:85" ht="21" x14ac:dyDescent="0.4">
      <c r="A71" s="2">
        <v>40</v>
      </c>
      <c r="B71">
        <v>648.91499999999996</v>
      </c>
      <c r="C71">
        <v>584.44000000000005</v>
      </c>
      <c r="D71">
        <v>559.29999999999995</v>
      </c>
      <c r="E71">
        <v>552.22500000000002</v>
      </c>
      <c r="F71">
        <v>537.17499999999995</v>
      </c>
      <c r="G71">
        <v>557.55499999999995</v>
      </c>
      <c r="H71">
        <v>557.69000000000005</v>
      </c>
      <c r="I71">
        <v>527.54499999999996</v>
      </c>
      <c r="J71">
        <v>528.10500000000002</v>
      </c>
      <c r="K71">
        <v>537.98500000000001</v>
      </c>
      <c r="M71">
        <v>5590.9350000000004</v>
      </c>
      <c r="O71">
        <v>40</v>
      </c>
      <c r="P71">
        <v>648.91499999999996</v>
      </c>
      <c r="Q71">
        <v>584.44000000000005</v>
      </c>
      <c r="R71">
        <v>559.29999999999995</v>
      </c>
      <c r="S71">
        <v>552.22500000000002</v>
      </c>
      <c r="T71">
        <v>537.17499999999995</v>
      </c>
      <c r="U71">
        <v>557.55499999999995</v>
      </c>
      <c r="V71">
        <v>557.69000000000005</v>
      </c>
      <c r="W71">
        <v>527.54499999999996</v>
      </c>
      <c r="X71">
        <v>528.10500000000002</v>
      </c>
      <c r="Y71">
        <v>537.98500000000001</v>
      </c>
      <c r="AA71" s="22">
        <v>60</v>
      </c>
      <c r="AB71" s="27">
        <f>AB56-(96.2*AZ8)</f>
        <v>269.53987657799996</v>
      </c>
      <c r="AC71" s="27">
        <f>AC56-(96.2*BA8)</f>
        <v>302.08581039999996</v>
      </c>
      <c r="AD71" s="27">
        <f>AD56-(96.2*BB8)</f>
        <v>316.07837429599999</v>
      </c>
      <c r="AE71" s="27">
        <f>AE56-(96.2*BC8)</f>
        <v>323.93375097199998</v>
      </c>
      <c r="AF71" s="27">
        <f>AF56-(96.2*BD8)</f>
        <v>328.65105566200003</v>
      </c>
      <c r="AG71" s="27">
        <f>AG56-(96.2*BE8)</f>
        <v>331.53759571399996</v>
      </c>
      <c r="AH71" s="27">
        <f>AH56-(96.2*BF8)</f>
        <v>333.60481435600002</v>
      </c>
      <c r="AI71" s="27">
        <f>AI56-(96.2*BG8)</f>
        <v>334.90600111799995</v>
      </c>
      <c r="AJ71" s="27">
        <f>AJ56-(96.2*BH8)</f>
        <v>335.81293593199996</v>
      </c>
      <c r="AK71" s="28">
        <f>AK56-(96.2*BI8)</f>
        <v>336.799547824</v>
      </c>
      <c r="AM71" s="22">
        <v>60</v>
      </c>
      <c r="AN71" s="5">
        <f>AN56-AN8*96.2</f>
        <v>253.41494666666659</v>
      </c>
      <c r="AO71" s="5">
        <f>AO56-AO8*96.2</f>
        <v>298.50747477777782</v>
      </c>
      <c r="AP71" s="5">
        <f>AP56-AP8*96.2</f>
        <v>315.46327944444442</v>
      </c>
      <c r="AQ71" s="5">
        <f>AQ56-AQ8*96.2</f>
        <v>319.46489022222227</v>
      </c>
      <c r="AR71" s="5">
        <f>AR56-AR8*96.2</f>
        <v>310.81428911111107</v>
      </c>
      <c r="AS71" s="5">
        <f>AS56-AS8*96.2</f>
        <v>320.26353911111119</v>
      </c>
      <c r="AT71" s="5">
        <f>AT56-AT8*96.2</f>
        <v>313.43200411111104</v>
      </c>
      <c r="AU71" s="5">
        <f>AU56-AU8*96.2</f>
        <v>314.07999855555556</v>
      </c>
      <c r="AV71" s="5">
        <f>AV56-AV8*96.2</f>
        <v>318.5624346666666</v>
      </c>
      <c r="AW71" s="5">
        <f>AW56-AW8*96.2</f>
        <v>323.04720777777777</v>
      </c>
      <c r="AZ71" s="22">
        <v>50</v>
      </c>
      <c r="BA71" s="5">
        <f>AN70-AN24</f>
        <v>23.030109999999922</v>
      </c>
      <c r="BB71" s="5">
        <f>AO70-AO24</f>
        <v>22.83141999999998</v>
      </c>
      <c r="BC71" s="5">
        <f>AP70-AP24</f>
        <v>15.28137700000002</v>
      </c>
      <c r="BD71" s="5">
        <f>AQ70-AQ24</f>
        <v>17.993090000000166</v>
      </c>
      <c r="BE71" s="5">
        <f>AR70-AR24</f>
        <v>29.785514999999975</v>
      </c>
      <c r="BF71" s="5">
        <f>AS70-AS24</f>
        <v>19.229971999999975</v>
      </c>
      <c r="BG71" s="5">
        <f>AT70-AT24</f>
        <v>22.24470800000006</v>
      </c>
      <c r="BH71" s="5">
        <f>AU70-AU24</f>
        <v>30.899424999999951</v>
      </c>
      <c r="BI71" s="5">
        <f>AV70-AV24</f>
        <v>18.932075000000111</v>
      </c>
      <c r="BJ71" s="5">
        <f>AW70-AW24</f>
        <v>20.760496999999873</v>
      </c>
      <c r="BX71" s="5"/>
      <c r="BY71" s="5"/>
      <c r="BZ71" s="5"/>
      <c r="CA71" s="5"/>
      <c r="CB71" s="5"/>
      <c r="CC71" s="5"/>
      <c r="CD71" s="5"/>
      <c r="CE71" s="5"/>
      <c r="CF71" s="5"/>
      <c r="CG71" s="5"/>
    </row>
    <row r="72" spans="1:85" ht="21" x14ac:dyDescent="0.4">
      <c r="A72" s="2">
        <v>50</v>
      </c>
      <c r="B72">
        <v>653.01499999999999</v>
      </c>
      <c r="C72">
        <v>569.06500000000005</v>
      </c>
      <c r="D72">
        <v>552.21500000000003</v>
      </c>
      <c r="E72">
        <v>543.495</v>
      </c>
      <c r="F72">
        <v>505.92</v>
      </c>
      <c r="G72">
        <v>509.3</v>
      </c>
      <c r="H72">
        <v>510.11</v>
      </c>
      <c r="I72">
        <v>512.09</v>
      </c>
      <c r="J72">
        <v>507.96</v>
      </c>
      <c r="K72">
        <v>498.59</v>
      </c>
      <c r="M72">
        <v>5361.76</v>
      </c>
      <c r="O72">
        <v>50</v>
      </c>
      <c r="P72">
        <v>653.01499999999999</v>
      </c>
      <c r="Q72">
        <v>569.06500000000005</v>
      </c>
      <c r="R72">
        <v>552.21500000000003</v>
      </c>
      <c r="S72">
        <v>543.495</v>
      </c>
      <c r="T72">
        <v>505.92</v>
      </c>
      <c r="U72">
        <v>509.3</v>
      </c>
      <c r="V72">
        <v>510.11</v>
      </c>
      <c r="W72">
        <v>512.09</v>
      </c>
      <c r="X72">
        <v>507.96</v>
      </c>
      <c r="Y72">
        <v>498.59</v>
      </c>
      <c r="AA72" s="22">
        <v>70</v>
      </c>
      <c r="AB72" s="27">
        <f>AB57-(96.2*AZ9)</f>
        <v>269.53987657799996</v>
      </c>
      <c r="AC72" s="27">
        <f>AC57-(96.2*BA9)</f>
        <v>302.73784292599998</v>
      </c>
      <c r="AD72" s="27">
        <f>AD57-(96.2*BB9)</f>
        <v>323.34238529000004</v>
      </c>
      <c r="AE72" s="27">
        <f>AE57-(96.2*BC9)</f>
        <v>335.46158699</v>
      </c>
      <c r="AF72" s="27">
        <f>AF57-(96.2*BD9)</f>
        <v>342.823645468</v>
      </c>
      <c r="AG72" s="27">
        <f>AG57-(96.2*BE9)</f>
        <v>347.41790959200006</v>
      </c>
      <c r="AH72" s="27">
        <f>AH57-(96.2*BF9)</f>
        <v>350.69226462999995</v>
      </c>
      <c r="AI72" s="27">
        <f>AI57-(96.2*BG9)</f>
        <v>352.76721269200004</v>
      </c>
      <c r="AJ72" s="27">
        <f>AJ57-(96.2*BH9)</f>
        <v>354.23056045600003</v>
      </c>
      <c r="AK72" s="28">
        <f>AK57-(96.2*BI9)</f>
        <v>355.76625082999999</v>
      </c>
      <c r="AM72" s="22">
        <v>70</v>
      </c>
      <c r="AN72" s="5">
        <f>AN57-AN9*96.2</f>
        <v>238.08959199999998</v>
      </c>
      <c r="AO72" s="5">
        <f>AO57-AO9*96.2</f>
        <v>307.80448722222218</v>
      </c>
      <c r="AP72" s="5">
        <f>AP57-AP9*96.2</f>
        <v>304.65480999999994</v>
      </c>
      <c r="AQ72" s="5">
        <f>AQ57-AQ9*96.2</f>
        <v>320.84138611111109</v>
      </c>
      <c r="AR72" s="5">
        <f>AR57-AR9*96.2</f>
        <v>312.31259611111113</v>
      </c>
      <c r="AS72" s="5">
        <f>AS57-AS9*96.2</f>
        <v>316.87350999999995</v>
      </c>
      <c r="AT72" s="5">
        <f>AT57-AT9*96.2</f>
        <v>312.46677522222217</v>
      </c>
      <c r="AU72" s="5">
        <f>AU57-AU9*96.2</f>
        <v>333.77416444444441</v>
      </c>
      <c r="AV72" s="5">
        <f>AV57-AV9*96.2</f>
        <v>317.21242722222217</v>
      </c>
      <c r="AW72" s="5">
        <f>AW57-AW9*96.2</f>
        <v>333.6276816666666</v>
      </c>
      <c r="AZ72" s="22">
        <v>60</v>
      </c>
      <c r="BA72" s="5">
        <f>AN71-AN25</f>
        <v>23.504030000000057</v>
      </c>
      <c r="BB72" s="5">
        <f>AO71-AO25</f>
        <v>27.650822000000062</v>
      </c>
      <c r="BC72" s="5">
        <f>AP71-AP25</f>
        <v>29.329909999999984</v>
      </c>
      <c r="BD72" s="5">
        <f>AQ71-AQ25</f>
        <v>28.662843000000066</v>
      </c>
      <c r="BE72" s="5">
        <f>AR71-AR25</f>
        <v>25.098602999999969</v>
      </c>
      <c r="BF72" s="5">
        <f>AS71-AS25</f>
        <v>30.638478000000077</v>
      </c>
      <c r="BG72" s="5">
        <f>AT71-AT25</f>
        <v>31.191318000000024</v>
      </c>
      <c r="BH72" s="5">
        <f>AU71-AU25</f>
        <v>31.03011800000013</v>
      </c>
      <c r="BI72" s="5">
        <f>AV71-AV25</f>
        <v>33.574542999999949</v>
      </c>
      <c r="BJ72" s="5">
        <f>AW71-AW25</f>
        <v>36.708504999999946</v>
      </c>
      <c r="BX72" s="5"/>
      <c r="BY72" s="5"/>
      <c r="BZ72" s="5"/>
      <c r="CA72" s="5"/>
      <c r="CB72" s="5"/>
      <c r="CC72" s="5"/>
      <c r="CD72" s="5"/>
      <c r="CE72" s="5"/>
      <c r="CF72" s="5"/>
      <c r="CG72" s="5"/>
    </row>
    <row r="73" spans="1:85" ht="21" x14ac:dyDescent="0.4">
      <c r="A73" s="2">
        <v>60</v>
      </c>
      <c r="B73">
        <v>623.23500000000001</v>
      </c>
      <c r="C73">
        <v>561.73500000000001</v>
      </c>
      <c r="D73">
        <v>528.82000000000005</v>
      </c>
      <c r="E73">
        <v>513.88499999999999</v>
      </c>
      <c r="F73">
        <v>522.74</v>
      </c>
      <c r="G73">
        <v>485.98</v>
      </c>
      <c r="H73">
        <v>508.76499999999999</v>
      </c>
      <c r="I73">
        <v>500.48500000000001</v>
      </c>
      <c r="J73">
        <v>497.46</v>
      </c>
      <c r="K73">
        <v>493.90499999999997</v>
      </c>
      <c r="M73">
        <v>5237.0099999999993</v>
      </c>
      <c r="O73">
        <v>60</v>
      </c>
      <c r="P73">
        <v>623.23500000000001</v>
      </c>
      <c r="Q73">
        <v>561.73500000000001</v>
      </c>
      <c r="R73">
        <v>528.82000000000005</v>
      </c>
      <c r="S73">
        <v>513.88499999999999</v>
      </c>
      <c r="T73">
        <v>522.74</v>
      </c>
      <c r="U73">
        <v>485.98</v>
      </c>
      <c r="V73">
        <v>508.76499999999999</v>
      </c>
      <c r="W73">
        <v>500.48500000000001</v>
      </c>
      <c r="X73">
        <v>497.46</v>
      </c>
      <c r="Y73">
        <v>493.90499999999997</v>
      </c>
      <c r="AA73" s="22">
        <v>80</v>
      </c>
      <c r="AB73" s="27">
        <f>AB58-(96.2*AZ10)</f>
        <v>269.53987657799996</v>
      </c>
      <c r="AC73" s="27">
        <f>AC58-(96.2*BA10)</f>
        <v>302.73784292599998</v>
      </c>
      <c r="AD73" s="27">
        <f>AD58-(96.2*BB10)</f>
        <v>325.31293120999999</v>
      </c>
      <c r="AE73" s="27">
        <f>AE58-(96.2*BC10)</f>
        <v>343.21375260400004</v>
      </c>
      <c r="AF73" s="27">
        <f>AF58-(96.2*BD10)</f>
        <v>354.20656390800002</v>
      </c>
      <c r="AG73" s="27">
        <f>AG58-(96.2*BE10)</f>
        <v>361.10646299000001</v>
      </c>
      <c r="AH73" s="27">
        <f>AH58-(96.2*BF10)</f>
        <v>366.10841342399999</v>
      </c>
      <c r="AI73" s="27">
        <f>AI58-(96.2*BG10)</f>
        <v>369.26636782399999</v>
      </c>
      <c r="AJ73" s="27">
        <f>AJ58-(96.2*BH10)</f>
        <v>371.48546957600001</v>
      </c>
      <c r="AK73" s="28">
        <f>AK58-(96.2*BI10)</f>
        <v>373.84169739400005</v>
      </c>
      <c r="AM73" s="22">
        <v>80</v>
      </c>
      <c r="AN73" s="5">
        <f>AN58-AN10*96.2</f>
        <v>229.39405222222223</v>
      </c>
      <c r="AO73" s="5">
        <f>AO58-AO10*96.2</f>
        <v>276.42396944444448</v>
      </c>
      <c r="AP73" s="5">
        <f>AP58-AP10*96.2</f>
        <v>303.98226222222223</v>
      </c>
      <c r="AQ73" s="5">
        <f>AQ58-AQ10*96.2</f>
        <v>310.28776966666669</v>
      </c>
      <c r="AR73" s="5">
        <f>AR58-AR10*96.2</f>
        <v>318.41105144444441</v>
      </c>
      <c r="AS73" s="5">
        <f>AS58-AS10*96.2</f>
        <v>307.07025555555555</v>
      </c>
      <c r="AT73" s="5">
        <f>AT58-AT10*96.2</f>
        <v>318.30591166666665</v>
      </c>
      <c r="AU73" s="5">
        <f>AU58-AU10*96.2</f>
        <v>331.71457255555555</v>
      </c>
      <c r="AV73" s="5">
        <f>AV58-AV10*96.2</f>
        <v>320.10999022222222</v>
      </c>
      <c r="AW73" s="5">
        <f>AW58-AW10*96.2</f>
        <v>299.50242188888888</v>
      </c>
      <c r="AZ73" s="22">
        <v>70</v>
      </c>
      <c r="BA73" s="5">
        <f>AN72-AN26</f>
        <v>18.908367000000112</v>
      </c>
      <c r="BB73" s="5">
        <f>AO72-AO26</f>
        <v>44.381565000000023</v>
      </c>
      <c r="BC73" s="5">
        <f>AP72-AP26</f>
        <v>27.039384999999868</v>
      </c>
      <c r="BD73" s="5">
        <f>AQ72-AQ26</f>
        <v>41.343274999999949</v>
      </c>
      <c r="BE73" s="5">
        <f>AR72-AR26</f>
        <v>27.39381000000003</v>
      </c>
      <c r="BF73" s="5">
        <f>AS72-AS26</f>
        <v>28.45001000000002</v>
      </c>
      <c r="BG73" s="5">
        <f>AT72-AT26</f>
        <v>31.899277999999981</v>
      </c>
      <c r="BH73" s="5">
        <f>AU72-AU26</f>
        <v>42.175619999999981</v>
      </c>
      <c r="BI73" s="5">
        <f>AV72-AV26</f>
        <v>42.023954999999944</v>
      </c>
      <c r="BJ73" s="5">
        <f>AW72-AW26</f>
        <v>36.002439999999979</v>
      </c>
      <c r="BX73" s="5"/>
      <c r="BY73" s="5"/>
      <c r="BZ73" s="5"/>
      <c r="CA73" s="5"/>
      <c r="CB73" s="5"/>
      <c r="CC73" s="5"/>
      <c r="CD73" s="5"/>
      <c r="CE73" s="5"/>
      <c r="CF73" s="5"/>
      <c r="CG73" s="5"/>
    </row>
    <row r="74" spans="1:85" ht="21" x14ac:dyDescent="0.4">
      <c r="A74" s="2">
        <v>70</v>
      </c>
      <c r="B74">
        <v>602.77</v>
      </c>
      <c r="C74">
        <v>539.745</v>
      </c>
      <c r="D74">
        <v>515.53499999999997</v>
      </c>
      <c r="E74">
        <v>504.125</v>
      </c>
      <c r="F74">
        <v>461.42</v>
      </c>
      <c r="G74">
        <v>486.59500000000003</v>
      </c>
      <c r="H74">
        <v>438.08499999999998</v>
      </c>
      <c r="I74">
        <v>463.55</v>
      </c>
      <c r="J74">
        <v>501.96</v>
      </c>
      <c r="K74">
        <v>424.71499999999997</v>
      </c>
      <c r="M74">
        <v>4938.5</v>
      </c>
      <c r="O74">
        <v>70</v>
      </c>
      <c r="P74">
        <v>602.77</v>
      </c>
      <c r="Q74">
        <v>539.745</v>
      </c>
      <c r="R74">
        <v>515.53499999999997</v>
      </c>
      <c r="S74">
        <v>504.125</v>
      </c>
      <c r="T74">
        <v>461.42</v>
      </c>
      <c r="U74">
        <v>486.59500000000003</v>
      </c>
      <c r="V74">
        <v>438.08499999999998</v>
      </c>
      <c r="W74">
        <v>463.55</v>
      </c>
      <c r="X74">
        <v>501.96</v>
      </c>
      <c r="Y74">
        <v>424.71499999999997</v>
      </c>
      <c r="AA74" s="22">
        <v>90</v>
      </c>
      <c r="AB74" s="27">
        <f>AB59-(96.2*AZ11)</f>
        <v>269.53987657799996</v>
      </c>
      <c r="AC74" s="27">
        <f>AC59-(96.2*BA11)</f>
        <v>302.73784292599998</v>
      </c>
      <c r="AD74" s="27">
        <f>AD59-(96.2*BB11)</f>
        <v>325.31293120999999</v>
      </c>
      <c r="AE74" s="27">
        <f>AE59-(96.2*BC11)</f>
        <v>345.97424819000003</v>
      </c>
      <c r="AF74" s="27">
        <f>AF59-(96.2*BD11)</f>
        <v>361.75713499000005</v>
      </c>
      <c r="AG74" s="27">
        <f>AG59-(96.2*BE11)</f>
        <v>371.66843810599994</v>
      </c>
      <c r="AH74" s="27">
        <f>AH59-(96.2*BF11)</f>
        <v>378.88204201199994</v>
      </c>
      <c r="AI74" s="27">
        <f>AI59-(96.2*BG11)</f>
        <v>383.51447763600004</v>
      </c>
      <c r="AJ74" s="27">
        <f>AJ59-(96.2*BH11)</f>
        <v>386.78739337599995</v>
      </c>
      <c r="AK74" s="28">
        <f>AK59-(96.2*BI11)</f>
        <v>390.23743567600002</v>
      </c>
      <c r="AM74" s="22">
        <v>90</v>
      </c>
      <c r="AN74" s="5">
        <f>AN59-AN11*96.2</f>
        <v>225.31509111111109</v>
      </c>
      <c r="AO74" s="5">
        <f>AO59-AO11*96.2</f>
        <v>266.76711055555552</v>
      </c>
      <c r="AP74" s="5">
        <f>AP59-AP11*96.2</f>
        <v>292.15247388888889</v>
      </c>
      <c r="AQ74" s="5">
        <f>AQ59-AQ11*96.2</f>
        <v>311.8093374444444</v>
      </c>
      <c r="AR74" s="5">
        <f>AR59-AR11*96.2</f>
        <v>298.95337188888891</v>
      </c>
      <c r="AS74" s="5">
        <f>AS59-AS11*96.2</f>
        <v>320.32021277777778</v>
      </c>
      <c r="AT74" s="5">
        <f>AT59-AT11*96.2</f>
        <v>326.03966500000001</v>
      </c>
      <c r="AU74" s="5">
        <f>AU59-AU11*96.2</f>
        <v>317.68137277777777</v>
      </c>
      <c r="AV74" s="5">
        <f>AV59-AV11*96.2</f>
        <v>329.9638668888889</v>
      </c>
      <c r="AW74" s="5">
        <f>AW59-AW11*96.2</f>
        <v>320.93736055555559</v>
      </c>
      <c r="AZ74" s="22">
        <v>80</v>
      </c>
      <c r="BA74" s="5">
        <f>AN73-AN27</f>
        <v>16.725830000000087</v>
      </c>
      <c r="BB74" s="5">
        <f>AO73-AO27</f>
        <v>23.120424999999955</v>
      </c>
      <c r="BC74" s="5">
        <f>AP73-AP27</f>
        <v>25.712240000000008</v>
      </c>
      <c r="BD74" s="5">
        <f>AQ73-AQ27</f>
        <v>31.373603000000003</v>
      </c>
      <c r="BE74" s="5">
        <f>AR73-AR27</f>
        <v>31.670807000000082</v>
      </c>
      <c r="BF74" s="5">
        <f>AS73-AS27</f>
        <v>22.252650000000017</v>
      </c>
      <c r="BG74" s="5">
        <f>AT73-AT27</f>
        <v>44.662469999999928</v>
      </c>
      <c r="BH74" s="5">
        <f>AU73-AU27</f>
        <v>34.556917000000055</v>
      </c>
      <c r="BI74" s="5">
        <f>AV73-AV27</f>
        <v>25.055468000000019</v>
      </c>
      <c r="BJ74" s="5">
        <f>AW73-AW27</f>
        <v>19.271458000000052</v>
      </c>
    </row>
    <row r="75" spans="1:85" ht="21.6" thickBot="1" x14ac:dyDescent="0.45">
      <c r="A75" s="2">
        <v>80</v>
      </c>
      <c r="B75">
        <v>574.44000000000005</v>
      </c>
      <c r="C75">
        <v>525.45500000000004</v>
      </c>
      <c r="D75">
        <v>486.685</v>
      </c>
      <c r="E75">
        <v>477.3</v>
      </c>
      <c r="F75">
        <v>478.34500000000003</v>
      </c>
      <c r="G75">
        <v>433.73500000000001</v>
      </c>
      <c r="H75">
        <v>480.36500000000001</v>
      </c>
      <c r="I75">
        <v>442.60500000000002</v>
      </c>
      <c r="J75">
        <v>471.375</v>
      </c>
      <c r="K75">
        <v>482.53</v>
      </c>
      <c r="M75">
        <v>4852.835</v>
      </c>
      <c r="O75">
        <v>80</v>
      </c>
      <c r="P75">
        <v>574.44000000000005</v>
      </c>
      <c r="Q75">
        <v>525.45500000000004</v>
      </c>
      <c r="R75">
        <v>486.685</v>
      </c>
      <c r="S75">
        <v>477.3</v>
      </c>
      <c r="T75">
        <v>478.34500000000003</v>
      </c>
      <c r="U75">
        <v>433.73500000000001</v>
      </c>
      <c r="V75">
        <v>480.36500000000001</v>
      </c>
      <c r="W75">
        <v>442.60500000000002</v>
      </c>
      <c r="X75">
        <v>471.375</v>
      </c>
      <c r="Y75">
        <v>482.53</v>
      </c>
      <c r="AA75" s="29">
        <v>100</v>
      </c>
      <c r="AB75" s="31">
        <f>AB60-(96.2*AZ12)</f>
        <v>269.53987657799996</v>
      </c>
      <c r="AC75" s="31">
        <f>AC60-(96.2*BA12)</f>
        <v>302.73784292599998</v>
      </c>
      <c r="AD75" s="31">
        <f>AD60-(96.2*BB12)</f>
        <v>325.31293120999999</v>
      </c>
      <c r="AE75" s="31">
        <f>AE60-(96.2*BC12)</f>
        <v>345.97424819000003</v>
      </c>
      <c r="AF75" s="31">
        <f>AF60-(96.2*BD12)</f>
        <v>364.44619176599997</v>
      </c>
      <c r="AG75" s="31">
        <f>AG60-(96.2*BE12)</f>
        <v>378.22219139799995</v>
      </c>
      <c r="AH75" s="31">
        <f>AH60-(96.2*BF12)</f>
        <v>388.24287473799995</v>
      </c>
      <c r="AI75" s="31">
        <f>AI60-(96.2*BG12)</f>
        <v>394.66081370000006</v>
      </c>
      <c r="AJ75" s="31">
        <f>AJ60-(96.2*BH12)</f>
        <v>399.26222835200008</v>
      </c>
      <c r="AK75" s="32">
        <f>AK60-(96.2*BI12)</f>
        <v>404.15617317200002</v>
      </c>
      <c r="AM75" s="29">
        <v>100</v>
      </c>
      <c r="AN75" s="5">
        <f>AN60-AN12*96.2</f>
        <v>221.20904022222226</v>
      </c>
      <c r="AO75" s="5">
        <f>AO60-AO12*96.2</f>
        <v>269.22883166666668</v>
      </c>
      <c r="AP75" s="5">
        <f>AP60-AP12*96.2</f>
        <v>286.27941611111112</v>
      </c>
      <c r="AQ75" s="5">
        <f>AQ60-AQ12*96.2</f>
        <v>301.35511355555553</v>
      </c>
      <c r="AR75" s="5">
        <f>AR60-AR12*96.2</f>
        <v>317.71981555555556</v>
      </c>
      <c r="AS75" s="5">
        <f>AS60-AS12*96.2</f>
        <v>322.3243955555555</v>
      </c>
      <c r="AT75" s="5">
        <f>AT60-AT12*96.2</f>
        <v>335.37461055555559</v>
      </c>
      <c r="AU75" s="5">
        <f>AU60-AU12*96.2</f>
        <v>345.23882388888887</v>
      </c>
      <c r="AV75" s="5">
        <f>AV60-AV12*96.2</f>
        <v>341.72842444444444</v>
      </c>
      <c r="AW75" s="5">
        <f>AW60-AW12*96.2</f>
        <v>357.04159611111112</v>
      </c>
      <c r="AZ75" s="22">
        <v>90</v>
      </c>
      <c r="BA75" s="5">
        <f>AN74-AN28</f>
        <v>16.590505000000007</v>
      </c>
      <c r="BB75" s="5">
        <f>AO74-AO28</f>
        <v>15.42477999999997</v>
      </c>
      <c r="BC75" s="5">
        <f>AP74-AP28</f>
        <v>35.062385000000063</v>
      </c>
      <c r="BD75" s="5">
        <f>AQ74-AQ28</f>
        <v>36.740042999999901</v>
      </c>
      <c r="BE75" s="5">
        <f>AR74-AR28</f>
        <v>18.160083000000043</v>
      </c>
      <c r="BF75" s="5">
        <f>AS74-AS28</f>
        <v>45.132810000000006</v>
      </c>
      <c r="BG75" s="5">
        <f>AT74-AT28</f>
        <v>35.641165000000001</v>
      </c>
      <c r="BH75" s="5">
        <f>AU74-AU28</f>
        <v>29.447394999999972</v>
      </c>
      <c r="BI75" s="5">
        <f>AV74-AV28</f>
        <v>35.66545300000007</v>
      </c>
      <c r="BJ75" s="5">
        <f>AW74-AW28</f>
        <v>23.191254999999956</v>
      </c>
    </row>
    <row r="76" spans="1:85" ht="21.6" thickBot="1" x14ac:dyDescent="0.45">
      <c r="A76" s="2">
        <v>90</v>
      </c>
      <c r="B76">
        <v>559.60500000000002</v>
      </c>
      <c r="C76">
        <v>507.77499999999998</v>
      </c>
      <c r="D76">
        <v>460.95499999999998</v>
      </c>
      <c r="E76">
        <v>458.41</v>
      </c>
      <c r="F76">
        <v>464.565</v>
      </c>
      <c r="G76">
        <v>429.48500000000001</v>
      </c>
      <c r="H76">
        <v>468.44499999999999</v>
      </c>
      <c r="I76">
        <v>440.83499999999998</v>
      </c>
      <c r="J76">
        <v>437.48</v>
      </c>
      <c r="K76">
        <v>438.185</v>
      </c>
      <c r="M76">
        <v>4665.7400000000007</v>
      </c>
      <c r="O76">
        <v>90</v>
      </c>
      <c r="P76">
        <v>559.60500000000002</v>
      </c>
      <c r="Q76">
        <v>507.77499999999998</v>
      </c>
      <c r="R76">
        <v>460.95499999999998</v>
      </c>
      <c r="S76">
        <v>458.41</v>
      </c>
      <c r="T76">
        <v>464.565</v>
      </c>
      <c r="U76">
        <v>429.48500000000001</v>
      </c>
      <c r="V76">
        <v>468.44499999999999</v>
      </c>
      <c r="W76">
        <v>440.83499999999998</v>
      </c>
      <c r="X76">
        <v>437.48</v>
      </c>
      <c r="Y76">
        <v>438.185</v>
      </c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M76" s="56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Z76" s="29">
        <v>100</v>
      </c>
      <c r="BA76" s="5">
        <f>AN75-AN29</f>
        <v>18.522418000000016</v>
      </c>
      <c r="BB76" s="5">
        <f>AO75-AO29</f>
        <v>22.009715000000028</v>
      </c>
      <c r="BC76" s="5">
        <f>AP75-AP29</f>
        <v>24.462479999999971</v>
      </c>
      <c r="BD76" s="5">
        <f>AQ75-AQ29</f>
        <v>27.946758000000045</v>
      </c>
      <c r="BE76" s="5">
        <f>AR75-AR29</f>
        <v>30.964434999999924</v>
      </c>
      <c r="BF76" s="5">
        <f>AS75-AS29</f>
        <v>45.917664999999829</v>
      </c>
      <c r="BG76" s="5">
        <f>AT75-AT29</f>
        <v>57.523829999999975</v>
      </c>
      <c r="BH76" s="5">
        <f>AU75-AU29</f>
        <v>59.408609999999896</v>
      </c>
      <c r="BI76" s="5">
        <f>AV75-AV29</f>
        <v>45.679805000000101</v>
      </c>
      <c r="BJ76" s="5">
        <f>AW75-AW29</f>
        <v>53.21605999999997</v>
      </c>
    </row>
    <row r="77" spans="1:85" ht="15" thickBot="1" x14ac:dyDescent="0.35">
      <c r="A77" s="2">
        <v>100</v>
      </c>
      <c r="B77">
        <v>554.82000000000005</v>
      </c>
      <c r="C77">
        <v>498.625</v>
      </c>
      <c r="D77">
        <v>499.57499999999999</v>
      </c>
      <c r="E77">
        <v>470.755</v>
      </c>
      <c r="F77">
        <v>439.71</v>
      </c>
      <c r="G77">
        <v>466.82499999999999</v>
      </c>
      <c r="H77">
        <v>421.36</v>
      </c>
      <c r="I77">
        <v>423.85</v>
      </c>
      <c r="J77">
        <v>451.47</v>
      </c>
      <c r="K77">
        <v>447.55</v>
      </c>
      <c r="M77">
        <v>4674.54</v>
      </c>
      <c r="O77">
        <v>100</v>
      </c>
      <c r="P77">
        <v>554.82000000000005</v>
      </c>
      <c r="Q77">
        <v>498.625</v>
      </c>
      <c r="R77">
        <v>499.57499999999999</v>
      </c>
      <c r="S77">
        <v>470.755</v>
      </c>
      <c r="T77">
        <v>439.71</v>
      </c>
      <c r="U77">
        <v>466.82499999999999</v>
      </c>
      <c r="V77">
        <v>421.36</v>
      </c>
      <c r="W77">
        <v>423.85</v>
      </c>
      <c r="X77">
        <v>451.47</v>
      </c>
      <c r="Y77">
        <v>447.55</v>
      </c>
      <c r="AA77" t="s">
        <v>41</v>
      </c>
      <c r="AM77" t="s">
        <v>44</v>
      </c>
    </row>
    <row r="78" spans="1:85" ht="21.6" thickBot="1" x14ac:dyDescent="0.45">
      <c r="A78" s="2" t="s">
        <v>22</v>
      </c>
      <c r="AA78" s="18"/>
      <c r="AB78" s="53" t="s">
        <v>33</v>
      </c>
      <c r="AC78" s="54"/>
      <c r="AD78" s="54"/>
      <c r="AE78" s="54"/>
      <c r="AF78" s="54"/>
      <c r="AG78" s="54"/>
      <c r="AH78" s="54"/>
      <c r="AI78" s="54"/>
      <c r="AJ78" s="54"/>
      <c r="AK78" s="55"/>
      <c r="AM78" s="18"/>
      <c r="AN78" s="53" t="s">
        <v>33</v>
      </c>
      <c r="AO78" s="54"/>
      <c r="AP78" s="54"/>
      <c r="AQ78" s="54"/>
      <c r="AR78" s="54"/>
      <c r="AS78" s="54"/>
      <c r="AT78" s="54"/>
      <c r="AU78" s="54"/>
      <c r="AV78" s="54"/>
      <c r="AW78" s="55"/>
    </row>
    <row r="79" spans="1:85" ht="21.6" thickBot="1" x14ac:dyDescent="0.45">
      <c r="A79" s="2" t="s">
        <v>19</v>
      </c>
      <c r="B79">
        <v>6874.2749999999996</v>
      </c>
      <c r="C79">
        <v>6299.5749999999998</v>
      </c>
      <c r="D79">
        <v>6053.795000000001</v>
      </c>
      <c r="E79">
        <v>5936.1399999999994</v>
      </c>
      <c r="F79">
        <v>5818.96</v>
      </c>
      <c r="G79">
        <v>5743.5399999999991</v>
      </c>
      <c r="H79">
        <v>5781.1949999999988</v>
      </c>
      <c r="I79">
        <v>5690.0050000000001</v>
      </c>
      <c r="J79">
        <v>5791.3400000000011</v>
      </c>
      <c r="K79">
        <v>5692.2100000000009</v>
      </c>
      <c r="M79">
        <v>59681.035000000003</v>
      </c>
      <c r="AA79" s="19" t="s">
        <v>16</v>
      </c>
      <c r="AB79" s="20">
        <v>10</v>
      </c>
      <c r="AC79" s="20">
        <v>20</v>
      </c>
      <c r="AD79" s="20">
        <v>30</v>
      </c>
      <c r="AE79" s="20">
        <v>40</v>
      </c>
      <c r="AF79" s="20">
        <v>50</v>
      </c>
      <c r="AG79" s="20">
        <v>60</v>
      </c>
      <c r="AH79" s="20">
        <v>70</v>
      </c>
      <c r="AI79" s="20">
        <v>80</v>
      </c>
      <c r="AJ79" s="20">
        <v>90</v>
      </c>
      <c r="AK79" s="21">
        <v>100</v>
      </c>
      <c r="AM79" s="19" t="s">
        <v>16</v>
      </c>
      <c r="AN79" s="20">
        <v>10</v>
      </c>
      <c r="AO79" s="20">
        <v>20</v>
      </c>
      <c r="AP79" s="20">
        <v>30</v>
      </c>
      <c r="AQ79" s="20">
        <v>40</v>
      </c>
      <c r="AR79" s="20">
        <v>50</v>
      </c>
      <c r="AS79" s="20">
        <v>60</v>
      </c>
      <c r="AT79" s="20">
        <v>70</v>
      </c>
      <c r="AU79" s="20">
        <v>80</v>
      </c>
      <c r="AV79" s="20">
        <v>90</v>
      </c>
      <c r="AW79" s="21">
        <v>100</v>
      </c>
    </row>
    <row r="80" spans="1:85" ht="21" x14ac:dyDescent="0.4">
      <c r="AA80" s="22">
        <v>10</v>
      </c>
      <c r="AB80" s="43">
        <f>(AB66/AN36)-1</f>
        <v>6.7143156905141943E-2</v>
      </c>
      <c r="AC80" s="43">
        <f>(AC66/AO36)-1</f>
        <v>-3.7274926550733944E-2</v>
      </c>
      <c r="AD80" s="43">
        <f>(AD66/AP36)-1</f>
        <v>-6.0929040571447435E-2</v>
      </c>
      <c r="AE80" s="43">
        <f>(AE66/AQ36)-1</f>
        <v>-7.8626074550527836E-2</v>
      </c>
      <c r="AF80" s="43">
        <f>(AF66/AR36)-1</f>
        <v>-9.4355587423457621E-2</v>
      </c>
      <c r="AG80" s="43">
        <f>(AG66/AS36)-1</f>
        <v>-8.7338395594215856E-2</v>
      </c>
      <c r="AH80" s="43">
        <f>(AH66/AT36)-1</f>
        <v>-9.8456386002671037E-2</v>
      </c>
      <c r="AI80" s="43">
        <f>(AI66/AU36)-1</f>
        <v>-0.1199028212308122</v>
      </c>
      <c r="AJ80" s="43">
        <f>(AJ66/AV36)-1</f>
        <v>-0.11401174948103943</v>
      </c>
      <c r="AK80" s="44">
        <f>(AK66/AW36)-1</f>
        <v>-0.12299721310039602</v>
      </c>
      <c r="AM80" s="22">
        <v>10</v>
      </c>
      <c r="AN80" s="43">
        <f>(AB66/AN66)-1</f>
        <v>-5.8305302715003782E-3</v>
      </c>
      <c r="AO80" s="43">
        <f>(AC66/AO66)-1</f>
        <v>-0.13686069745926999</v>
      </c>
      <c r="AP80" s="43">
        <f>(AD66/AP66)-1</f>
        <v>-0.15524024296829486</v>
      </c>
      <c r="AQ80" s="43">
        <f>(AE66/AQ66)-1</f>
        <v>-0.17911752819666116</v>
      </c>
      <c r="AR80" s="43">
        <f>(AF66/AR66)-1</f>
        <v>-0.16007134243481913</v>
      </c>
      <c r="AS80" s="43">
        <f>(AG66/AS66)-1</f>
        <v>-0.13899674032742038</v>
      </c>
      <c r="AT80" s="43">
        <f>(AH66/AT66)-1</f>
        <v>-0.184891417779389</v>
      </c>
      <c r="AU80" s="43">
        <f>(AI66/AU66)-1</f>
        <v>-0.22474910308473617</v>
      </c>
      <c r="AV80" s="43">
        <f>(AJ66/AV66)-1</f>
        <v>-0.19033944703472605</v>
      </c>
      <c r="AW80" s="43">
        <f>(AK66/AW66)-1</f>
        <v>-0.19738954716033685</v>
      </c>
    </row>
    <row r="81" spans="1:85" ht="21" x14ac:dyDescent="0.4">
      <c r="A81">
        <v>7</v>
      </c>
      <c r="AA81" s="22">
        <v>20</v>
      </c>
      <c r="AB81" s="43">
        <f>(AB67/AN37)-1</f>
        <v>0.21171181941577455</v>
      </c>
      <c r="AC81" s="43">
        <f>(AC67/AO37)-1</f>
        <v>0.12865606139586983</v>
      </c>
      <c r="AD81" s="43">
        <f>(AD67/AP37)-1</f>
        <v>0.13528587421155036</v>
      </c>
      <c r="AE81" s="43">
        <f>(AE67/AQ37)-1</f>
        <v>9.4723825807471407E-2</v>
      </c>
      <c r="AF81" s="43">
        <f>(AF67/AR37)-1</f>
        <v>8.3924946854263549E-2</v>
      </c>
      <c r="AG81" s="43">
        <f>(AG67/AS37)-1</f>
        <v>9.5690030818211813E-2</v>
      </c>
      <c r="AH81" s="43">
        <f>(AH67/AT37)-1</f>
        <v>8.456530015116126E-2</v>
      </c>
      <c r="AI81" s="43">
        <f>(AI67/AU37)-1</f>
        <v>8.2624946308665015E-2</v>
      </c>
      <c r="AJ81" s="43">
        <f>(AJ67/AV37)-1</f>
        <v>7.7622570099392663E-2</v>
      </c>
      <c r="AK81" s="44">
        <f>(AK67/AW37)-1</f>
        <v>9.9098359384505175E-2</v>
      </c>
      <c r="AM81" s="22">
        <v>20</v>
      </c>
      <c r="AN81" s="43">
        <f>(AB67/AN67)-1</f>
        <v>7.3008956663592084E-2</v>
      </c>
      <c r="AO81" s="43">
        <f>(AC67/AO67)-1</f>
        <v>5.9285117907135865E-2</v>
      </c>
      <c r="AP81" s="43">
        <f>(AD67/AP67)-1</f>
        <v>1.2288466191190617E-2</v>
      </c>
      <c r="AQ81" s="43">
        <f>(AE67/AQ67)-1</f>
        <v>5.5278292736784529E-2</v>
      </c>
      <c r="AR81" s="43">
        <f>(AF67/AR67)-1</f>
        <v>-1.7933914247461602E-2</v>
      </c>
      <c r="AS81" s="43">
        <f>(AG67/AS67)-1</f>
        <v>1.261256490134044E-2</v>
      </c>
      <c r="AT81" s="43">
        <f>(AH67/AT67)-1</f>
        <v>4.1213176667773688E-2</v>
      </c>
      <c r="AU81" s="43">
        <f>(AI67/AU67)-1</f>
        <v>-1.04509717922463E-2</v>
      </c>
      <c r="AV81" s="43">
        <f>(AJ67/AV67)-1</f>
        <v>-1.1141287549368717E-2</v>
      </c>
      <c r="AW81" s="43">
        <f>(AK67/AW67)-1</f>
        <v>3.2243943801089303E-2</v>
      </c>
    </row>
    <row r="82" spans="1:85" ht="21" x14ac:dyDescent="0.4">
      <c r="A82" s="1" t="s">
        <v>28</v>
      </c>
      <c r="B82" s="1" t="s">
        <v>20</v>
      </c>
      <c r="O82" t="s">
        <v>28</v>
      </c>
      <c r="P82" t="s">
        <v>20</v>
      </c>
      <c r="AA82" s="22">
        <v>30</v>
      </c>
      <c r="AB82" s="43">
        <f>(AB68/AN38)-1</f>
        <v>0.25774056785905031</v>
      </c>
      <c r="AC82" s="43">
        <f>(AC68/AO38)-1</f>
        <v>0.16919651737236707</v>
      </c>
      <c r="AD82" s="43">
        <f>(AD68/AP38)-1</f>
        <v>0.15498310202360033</v>
      </c>
      <c r="AE82" s="43">
        <f>(AE68/AQ38)-1</f>
        <v>0.14752179819278366</v>
      </c>
      <c r="AF82" s="43">
        <f>(AF68/AR38)-1</f>
        <v>0.13573402140493096</v>
      </c>
      <c r="AG82" s="43">
        <f>(AG68/AS38)-1</f>
        <v>0.14485910951353387</v>
      </c>
      <c r="AH82" s="43">
        <f>(AH68/AT38)-1</f>
        <v>0.12708298242089988</v>
      </c>
      <c r="AI82" s="43">
        <f>(AI68/AU38)-1</f>
        <v>0.12923785276882227</v>
      </c>
      <c r="AJ82" s="43">
        <f>(AJ68/AV38)-1</f>
        <v>0.12446070152140898</v>
      </c>
      <c r="AK82" s="44">
        <f>(AK68/AW38)-1</f>
        <v>0.12735718410809982</v>
      </c>
      <c r="AM82" s="22">
        <v>30</v>
      </c>
      <c r="AN82" s="43">
        <f>(AB68/AN68)-1</f>
        <v>0.16024988487040459</v>
      </c>
      <c r="AO82" s="43">
        <f>(AC68/AO68)-1</f>
        <v>5.7674149884988868E-2</v>
      </c>
      <c r="AP82" s="43">
        <f>(AD68/AP68)-1</f>
        <v>3.9642467953822758E-2</v>
      </c>
      <c r="AQ82" s="43">
        <f>(AE68/AQ68)-1</f>
        <v>6.1414630480523646E-2</v>
      </c>
      <c r="AR82" s="43">
        <f>(AF68/AR68)-1</f>
        <v>3.2700646218100315E-2</v>
      </c>
      <c r="AS82" s="43">
        <f>(AG68/AS68)-1</f>
        <v>1.3656461220941774E-2</v>
      </c>
      <c r="AT82" s="43">
        <f>(AH68/AT68)-1</f>
        <v>3.8043244821735822E-2</v>
      </c>
      <c r="AU82" s="43">
        <f>(AI68/AU68)-1</f>
        <v>2.9104875408034303E-2</v>
      </c>
      <c r="AV82" s="43">
        <f>(AJ68/AV68)-1</f>
        <v>1.9371522268373464E-2</v>
      </c>
      <c r="AW82" s="43">
        <f>(AK68/AW68)-1</f>
        <v>6.1000852792471028E-2</v>
      </c>
    </row>
    <row r="83" spans="1:85" ht="21" x14ac:dyDescent="0.4">
      <c r="A83" s="1" t="s">
        <v>18</v>
      </c>
      <c r="B83">
        <v>10</v>
      </c>
      <c r="C83">
        <v>20</v>
      </c>
      <c r="D83">
        <v>30</v>
      </c>
      <c r="E83">
        <v>40</v>
      </c>
      <c r="F83">
        <v>50</v>
      </c>
      <c r="G83">
        <v>60</v>
      </c>
      <c r="H83">
        <v>70</v>
      </c>
      <c r="I83">
        <v>80</v>
      </c>
      <c r="J83">
        <v>90</v>
      </c>
      <c r="K83">
        <v>100</v>
      </c>
      <c r="L83" t="s">
        <v>22</v>
      </c>
      <c r="M83" t="s">
        <v>19</v>
      </c>
      <c r="O83" t="s">
        <v>18</v>
      </c>
      <c r="P83">
        <v>10</v>
      </c>
      <c r="Q83">
        <v>20</v>
      </c>
      <c r="R83">
        <v>30</v>
      </c>
      <c r="S83">
        <v>40</v>
      </c>
      <c r="T83">
        <v>50</v>
      </c>
      <c r="U83">
        <v>60</v>
      </c>
      <c r="V83">
        <v>70</v>
      </c>
      <c r="W83">
        <v>80</v>
      </c>
      <c r="X83">
        <v>90</v>
      </c>
      <c r="Y83">
        <v>100</v>
      </c>
      <c r="AA83" s="22">
        <v>40</v>
      </c>
      <c r="AB83" s="43">
        <f>(AB69/AN39)-1</f>
        <v>0.24151293457695222</v>
      </c>
      <c r="AC83" s="43">
        <f>(AC69/AO39)-1</f>
        <v>0.16900191252264962</v>
      </c>
      <c r="AD83" s="43">
        <f>(AD69/AP39)-1</f>
        <v>0.16082737466937957</v>
      </c>
      <c r="AE83" s="43">
        <f>(AE69/AQ39)-1</f>
        <v>0.14841183854939732</v>
      </c>
      <c r="AF83" s="43">
        <f>(AF69/AR39)-1</f>
        <v>0.17016265863671975</v>
      </c>
      <c r="AG83" s="43">
        <f>(AG69/AS39)-1</f>
        <v>0.18601580278856145</v>
      </c>
      <c r="AH83" s="43">
        <f>(AH69/AT39)-1</f>
        <v>0.16917206724956424</v>
      </c>
      <c r="AI83" s="43">
        <f>(AI69/AU39)-1</f>
        <v>8.012543202170308E-2</v>
      </c>
      <c r="AJ83" s="43">
        <f>(AJ69/AV39)-1</f>
        <v>0.13230466861798718</v>
      </c>
      <c r="AK83" s="44">
        <f>(AK69/AW39)-1</f>
        <v>0.14436182080724924</v>
      </c>
      <c r="AM83" s="22">
        <v>40</v>
      </c>
      <c r="AN83" s="43">
        <f>(AB69/AN69)-1</f>
        <v>8.8655850340417786E-2</v>
      </c>
      <c r="AO83" s="43">
        <f>(AC69/AO69)-1</f>
        <v>7.1742419285317105E-2</v>
      </c>
      <c r="AP83" s="43">
        <f>(AD69/AP69)-1</f>
        <v>6.7521302122129478E-2</v>
      </c>
      <c r="AQ83" s="43">
        <f>(AE69/AQ69)-1</f>
        <v>5.6513396772944313E-2</v>
      </c>
      <c r="AR83" s="43">
        <f>(AF69/AR69)-1</f>
        <v>7.865048992269541E-2</v>
      </c>
      <c r="AS83" s="43">
        <f>(AG69/AS69)-1</f>
        <v>0.1147941061309401</v>
      </c>
      <c r="AT83" s="43">
        <f>(AH69/AT69)-1</f>
        <v>0.11512192021822609</v>
      </c>
      <c r="AU83" s="43">
        <f>(AI69/AU69)-1</f>
        <v>-1.1885105573272492E-2</v>
      </c>
      <c r="AV83" s="43">
        <f>(AJ69/AV69)-1</f>
        <v>5.1946155231493707E-2</v>
      </c>
      <c r="AW83" s="43">
        <f>(AK69/AW69)-1</f>
        <v>8.8907713223520757E-2</v>
      </c>
    </row>
    <row r="84" spans="1:85" ht="21" x14ac:dyDescent="0.4">
      <c r="A84" s="2">
        <v>10</v>
      </c>
      <c r="B84">
        <v>1131.8800000000001</v>
      </c>
      <c r="C84">
        <v>1079.175</v>
      </c>
      <c r="D84">
        <v>1078.67</v>
      </c>
      <c r="E84">
        <v>1066.46</v>
      </c>
      <c r="F84">
        <v>1065.45</v>
      </c>
      <c r="G84">
        <v>1057.655</v>
      </c>
      <c r="H84">
        <v>1067.8900000000001</v>
      </c>
      <c r="I84">
        <v>1064.9000000000001</v>
      </c>
      <c r="J84">
        <v>1067.68</v>
      </c>
      <c r="K84">
        <v>1064.23</v>
      </c>
      <c r="M84">
        <v>10743.99</v>
      </c>
      <c r="O84">
        <v>10</v>
      </c>
      <c r="P84">
        <v>1131.8800000000001</v>
      </c>
      <c r="Q84">
        <v>1079.175</v>
      </c>
      <c r="R84">
        <v>1078.67</v>
      </c>
      <c r="S84">
        <v>1066.46</v>
      </c>
      <c r="T84">
        <v>1065.45</v>
      </c>
      <c r="U84">
        <v>1057.655</v>
      </c>
      <c r="V84">
        <v>1067.8900000000001</v>
      </c>
      <c r="W84">
        <v>1064.9000000000001</v>
      </c>
      <c r="X84">
        <v>1067.68</v>
      </c>
      <c r="Y84">
        <v>1064.23</v>
      </c>
      <c r="AA84" s="22">
        <v>50</v>
      </c>
      <c r="AB84" s="43">
        <f>(AB70/AN40)-1</f>
        <v>0.21942449577847678</v>
      </c>
      <c r="AC84" s="43">
        <f>(AC70/AO40)-1</f>
        <v>0.15350173320088811</v>
      </c>
      <c r="AD84" s="43">
        <f>(AD70/AP40)-1</f>
        <v>0.1304646476780098</v>
      </c>
      <c r="AE84" s="43">
        <f>(AE70/AQ40)-1</f>
        <v>9.9817054722718623E-2</v>
      </c>
      <c r="AF84" s="43">
        <f>(AF70/AR40)-1</f>
        <v>0.10860839120850896</v>
      </c>
      <c r="AG84" s="43">
        <f>(AG70/AS40)-1</f>
        <v>0.11147852295410821</v>
      </c>
      <c r="AH84" s="43">
        <f>(AH70/AT40)-1</f>
        <v>0.11616042713315644</v>
      </c>
      <c r="AI84" s="43">
        <f>(AI70/AU40)-1</f>
        <v>0.12618248280240807</v>
      </c>
      <c r="AJ84" s="43">
        <f>(AJ70/AV40)-1</f>
        <v>0.11760640071973061</v>
      </c>
      <c r="AK84" s="44">
        <f>(AK70/AW40)-1</f>
        <v>0.12514653076873916</v>
      </c>
      <c r="AM84" s="22">
        <v>50</v>
      </c>
      <c r="AN84" s="43">
        <f>(AB70/AN70)-1</f>
        <v>0.10436066431185287</v>
      </c>
      <c r="AO84" s="43">
        <f>(AC70/AO70)-1</f>
        <v>5.9314426581194013E-2</v>
      </c>
      <c r="AP84" s="43">
        <f>(AD70/AP70)-1</f>
        <v>6.9845167699081667E-2</v>
      </c>
      <c r="AQ84" s="43">
        <f>(AE70/AQ70)-1</f>
        <v>3.378190493313582E-2</v>
      </c>
      <c r="AR84" s="43">
        <f>(AF70/AR70)-1</f>
        <v>2.709305886332336E-3</v>
      </c>
      <c r="AS84" s="43">
        <f>(AG70/AS70)-1</f>
        <v>4.0727892856735171E-2</v>
      </c>
      <c r="AT84" s="43">
        <f>(AH70/AT70)-1</f>
        <v>3.4763344815379238E-2</v>
      </c>
      <c r="AU84" s="43">
        <f>(AI70/AU70)-1</f>
        <v>1.4609982387153275E-2</v>
      </c>
      <c r="AV84" s="43">
        <f>(AJ70/AV70)-1</f>
        <v>4.7679419333595874E-2</v>
      </c>
      <c r="AW84" s="43">
        <f>(AK70/AW70)-1</f>
        <v>4.8064754948031085E-2</v>
      </c>
    </row>
    <row r="85" spans="1:85" ht="21" x14ac:dyDescent="0.4">
      <c r="A85" s="2">
        <v>20</v>
      </c>
      <c r="B85">
        <v>776.73</v>
      </c>
      <c r="C85">
        <v>715.87</v>
      </c>
      <c r="D85">
        <v>686.83500000000004</v>
      </c>
      <c r="E85">
        <v>690.15499999999997</v>
      </c>
      <c r="F85">
        <v>677.06</v>
      </c>
      <c r="G85">
        <v>676.79499999999996</v>
      </c>
      <c r="H85">
        <v>682.14</v>
      </c>
      <c r="I85">
        <v>668.92</v>
      </c>
      <c r="J85">
        <v>681.47</v>
      </c>
      <c r="K85">
        <v>676.64</v>
      </c>
      <c r="M85">
        <v>6932.6150000000007</v>
      </c>
      <c r="O85">
        <v>20</v>
      </c>
      <c r="P85">
        <v>776.73</v>
      </c>
      <c r="Q85">
        <v>715.87</v>
      </c>
      <c r="R85">
        <v>686.83500000000004</v>
      </c>
      <c r="S85">
        <v>690.15499999999997</v>
      </c>
      <c r="T85">
        <v>677.06</v>
      </c>
      <c r="U85">
        <v>676.79499999999996</v>
      </c>
      <c r="V85">
        <v>682.14</v>
      </c>
      <c r="W85">
        <v>668.92</v>
      </c>
      <c r="X85">
        <v>681.47</v>
      </c>
      <c r="Y85">
        <v>676.64</v>
      </c>
      <c r="AA85" s="22">
        <v>60</v>
      </c>
      <c r="AB85" s="43">
        <f>(AB71/AN41)-1</f>
        <v>0.17236658652789849</v>
      </c>
      <c r="AC85" s="43">
        <f>(AC71/AO41)-1</f>
        <v>0.11529773148250455</v>
      </c>
      <c r="AD85" s="43">
        <f>(AD71/AP41)-1</f>
        <v>0.10465401120357498</v>
      </c>
      <c r="AE85" s="43">
        <f>(AE71/AQ41)-1</f>
        <v>0.11393215442001181</v>
      </c>
      <c r="AF85" s="43">
        <f>(AF71/AR41)-1</f>
        <v>0.1502730568814199</v>
      </c>
      <c r="AG85" s="43">
        <f>(AG71/AS41)-1</f>
        <v>0.14471307987677773</v>
      </c>
      <c r="AH85" s="43">
        <f>(AH71/AT41)-1</f>
        <v>0.18198697343255543</v>
      </c>
      <c r="AI85" s="43">
        <f>(AI71/AU41)-1</f>
        <v>0.18320488410263258</v>
      </c>
      <c r="AJ85" s="43">
        <f>(AJ71/AV41)-1</f>
        <v>0.17834106553825224</v>
      </c>
      <c r="AK85" s="44">
        <f>(AK71/AW41)-1</f>
        <v>0.17622781886172012</v>
      </c>
      <c r="AM85" s="22">
        <v>60</v>
      </c>
      <c r="AN85" s="43">
        <f>(AB71/AN71)-1</f>
        <v>6.3630540042863171E-2</v>
      </c>
      <c r="AO85" s="43">
        <f>(AC71/AO71)-1</f>
        <v>1.1987423848886847E-2</v>
      </c>
      <c r="AP85" s="43">
        <f>(AD71/AP71)-1</f>
        <v>1.9498144209963986E-3</v>
      </c>
      <c r="AQ85" s="43">
        <f>(AE71/AQ71)-1</f>
        <v>1.3988581802116373E-2</v>
      </c>
      <c r="AR85" s="43">
        <f>(AF71/AR71)-1</f>
        <v>5.7387215375135581E-2</v>
      </c>
      <c r="AS85" s="43">
        <f>(AG71/AS71)-1</f>
        <v>3.5202435575963031E-2</v>
      </c>
      <c r="AT85" s="43">
        <f>(AH71/AT71)-1</f>
        <v>6.4361041566571409E-2</v>
      </c>
      <c r="AU85" s="43">
        <f>(AI71/AU71)-1</f>
        <v>6.6307955483388081E-2</v>
      </c>
      <c r="AV85" s="43">
        <f>(AJ71/AV71)-1</f>
        <v>5.4151084334170596E-2</v>
      </c>
      <c r="AW85" s="43">
        <f>(AK71/AW71)-1</f>
        <v>4.2570682287656147E-2</v>
      </c>
    </row>
    <row r="86" spans="1:85" ht="21" x14ac:dyDescent="0.4">
      <c r="A86" s="2">
        <v>30</v>
      </c>
      <c r="B86">
        <v>652.005</v>
      </c>
      <c r="C86">
        <v>611.12</v>
      </c>
      <c r="D86">
        <v>579.51</v>
      </c>
      <c r="E86">
        <v>579.29499999999996</v>
      </c>
      <c r="F86">
        <v>567.72500000000002</v>
      </c>
      <c r="G86">
        <v>542.58500000000004</v>
      </c>
      <c r="H86">
        <v>565.08000000000004</v>
      </c>
      <c r="I86">
        <v>548.99</v>
      </c>
      <c r="J86">
        <v>553.03499999999997</v>
      </c>
      <c r="K86">
        <v>549.79499999999996</v>
      </c>
      <c r="M86">
        <v>5749.1399999999994</v>
      </c>
      <c r="O86">
        <v>30</v>
      </c>
      <c r="P86">
        <v>652.005</v>
      </c>
      <c r="Q86">
        <v>611.12</v>
      </c>
      <c r="R86">
        <v>579.51</v>
      </c>
      <c r="S86">
        <v>579.29499999999996</v>
      </c>
      <c r="T86">
        <v>567.72500000000002</v>
      </c>
      <c r="U86">
        <v>542.58500000000004</v>
      </c>
      <c r="V86">
        <v>565.08000000000004</v>
      </c>
      <c r="W86">
        <v>548.99</v>
      </c>
      <c r="X86">
        <v>553.03499999999997</v>
      </c>
      <c r="Y86">
        <v>549.79499999999996</v>
      </c>
      <c r="AA86" s="22">
        <v>70</v>
      </c>
      <c r="AB86" s="43">
        <f>(AB72/AN42)-1</f>
        <v>0.22975805330953936</v>
      </c>
      <c r="AC86" s="43">
        <f>(AC72/AO42)-1</f>
        <v>0.14924639196968581</v>
      </c>
      <c r="AD86" s="43">
        <f>(AD72/AP42)-1</f>
        <v>0.16471332704225627</v>
      </c>
      <c r="AE86" s="43">
        <f>(AE72/AQ42)-1</f>
        <v>0.20022845827620372</v>
      </c>
      <c r="AF86" s="43">
        <f>(AF72/AR42)-1</f>
        <v>0.20323285855327011</v>
      </c>
      <c r="AG86" s="43">
        <f>(AG72/AS42)-1</f>
        <v>0.20454092538229429</v>
      </c>
      <c r="AH86" s="43">
        <f>(AH72/AT42)-1</f>
        <v>0.24993902751406649</v>
      </c>
      <c r="AI86" s="43">
        <f>(AI72/AU42)-1</f>
        <v>0.20977014259139937</v>
      </c>
      <c r="AJ86" s="43">
        <f>(AJ72/AV42)-1</f>
        <v>0.2872289220383808</v>
      </c>
      <c r="AK86" s="44">
        <f>(AK72/AW42)-1</f>
        <v>0.19534972517031979</v>
      </c>
      <c r="AM86" s="22">
        <v>70</v>
      </c>
      <c r="AN86" s="43">
        <f>(AB72/AN72)-1</f>
        <v>0.13209432765964824</v>
      </c>
      <c r="AO86" s="43">
        <f>(AC72/AO72)-1</f>
        <v>-1.6460592702679744E-2</v>
      </c>
      <c r="AP86" s="43">
        <f>(AD72/AP72)-1</f>
        <v>6.1340161640645263E-2</v>
      </c>
      <c r="AQ86" s="43">
        <f>(AE72/AQ72)-1</f>
        <v>4.5568313539905203E-2</v>
      </c>
      <c r="AR86" s="43">
        <f>(AF72/AR72)-1</f>
        <v>9.7693944262286392E-2</v>
      </c>
      <c r="AS86" s="43">
        <f>(AG72/AS72)-1</f>
        <v>9.6393035795261373E-2</v>
      </c>
      <c r="AT86" s="43">
        <f>(AH72/AT72)-1</f>
        <v>0.12233457262965741</v>
      </c>
      <c r="AU86" s="43">
        <f>(AI72/AU72)-1</f>
        <v>5.690388972786109E-2</v>
      </c>
      <c r="AV86" s="43">
        <f>(AJ72/AV72)-1</f>
        <v>0.1166982440062001</v>
      </c>
      <c r="AW86" s="43">
        <f>(AK72/AW72)-1</f>
        <v>6.6357111174762951E-2</v>
      </c>
    </row>
    <row r="87" spans="1:85" ht="21" x14ac:dyDescent="0.4">
      <c r="A87" s="2">
        <v>40</v>
      </c>
      <c r="B87">
        <v>618.66499999999996</v>
      </c>
      <c r="C87">
        <v>551.28499999999997</v>
      </c>
      <c r="D87">
        <v>532.19500000000005</v>
      </c>
      <c r="E87">
        <v>526.38</v>
      </c>
      <c r="F87">
        <v>514.36</v>
      </c>
      <c r="G87">
        <v>498.58499999999998</v>
      </c>
      <c r="H87">
        <v>507.745</v>
      </c>
      <c r="I87">
        <v>531.77</v>
      </c>
      <c r="J87">
        <v>538.25</v>
      </c>
      <c r="K87">
        <v>507.90499999999997</v>
      </c>
      <c r="M87">
        <v>5327.14</v>
      </c>
      <c r="O87">
        <v>40</v>
      </c>
      <c r="P87">
        <v>618.66499999999996</v>
      </c>
      <c r="Q87">
        <v>551.28499999999997</v>
      </c>
      <c r="R87">
        <v>532.19500000000005</v>
      </c>
      <c r="S87">
        <v>526.38</v>
      </c>
      <c r="T87">
        <v>514.36</v>
      </c>
      <c r="U87">
        <v>498.58499999999998</v>
      </c>
      <c r="V87">
        <v>507.745</v>
      </c>
      <c r="W87">
        <v>531.77</v>
      </c>
      <c r="X87">
        <v>538.25</v>
      </c>
      <c r="Y87">
        <v>507.90499999999997</v>
      </c>
      <c r="AA87" s="22">
        <v>80</v>
      </c>
      <c r="AB87" s="43">
        <f>(AB73/AN43)-1</f>
        <v>0.26741961615850274</v>
      </c>
      <c r="AC87" s="43">
        <f>(AC73/AO43)-1</f>
        <v>0.19515833696672802</v>
      </c>
      <c r="AD87" s="43">
        <f>(AD73/AP43)-1</f>
        <v>0.16905489356021985</v>
      </c>
      <c r="AE87" s="43">
        <f>(AE73/AQ43)-1</f>
        <v>0.23053538909760185</v>
      </c>
      <c r="AF87" s="43">
        <f>(AF73/AR43)-1</f>
        <v>0.23528723564517717</v>
      </c>
      <c r="AG87" s="43">
        <f>(AG73/AS43)-1</f>
        <v>0.26785162134074558</v>
      </c>
      <c r="AH87" s="43">
        <f>(AH73/AT43)-1</f>
        <v>0.3379031165306261</v>
      </c>
      <c r="AI87" s="43">
        <f>(AI73/AU43)-1</f>
        <v>0.24266146579206449</v>
      </c>
      <c r="AJ87" s="43">
        <f>(AJ73/AV43)-1</f>
        <v>0.25904008106072451</v>
      </c>
      <c r="AK87" s="44">
        <f>(AK73/AW43)-1</f>
        <v>0.33404850130061914</v>
      </c>
      <c r="AM87" s="22">
        <v>80</v>
      </c>
      <c r="AN87" s="43">
        <f>(AB73/AN73)-1</f>
        <v>0.17500813106037749</v>
      </c>
      <c r="AO87" s="43">
        <f>(AC73/AO73)-1</f>
        <v>9.5193891956768528E-2</v>
      </c>
      <c r="AP87" s="43">
        <f>(AD73/AP73)-1</f>
        <v>7.0170768622625168E-2</v>
      </c>
      <c r="AQ87" s="43">
        <f>(AE73/AQ73)-1</f>
        <v>0.10611434338100012</v>
      </c>
      <c r="AR87" s="43">
        <f>(AF73/AR73)-1</f>
        <v>0.11241918991558975</v>
      </c>
      <c r="AS87" s="43">
        <f>(AG73/AS73)-1</f>
        <v>0.17597343427705647</v>
      </c>
      <c r="AT87" s="43">
        <f>(AH73/AT73)-1</f>
        <v>0.15017786351198104</v>
      </c>
      <c r="AU87" s="43">
        <f>(AI73/AU73)-1</f>
        <v>0.11320514193616038</v>
      </c>
      <c r="AV87" s="43">
        <f>(AJ73/AV73)-1</f>
        <v>0.16049320834414638</v>
      </c>
      <c r="AW87" s="43">
        <f>(AK73/AW73)-1</f>
        <v>0.2482092633384112</v>
      </c>
    </row>
    <row r="88" spans="1:85" ht="21" x14ac:dyDescent="0.4">
      <c r="A88" s="2">
        <v>50</v>
      </c>
      <c r="B88">
        <v>607.95000000000005</v>
      </c>
      <c r="C88">
        <v>559.84</v>
      </c>
      <c r="D88">
        <v>531.54</v>
      </c>
      <c r="E88">
        <v>502.185</v>
      </c>
      <c r="F88">
        <v>504.15</v>
      </c>
      <c r="G88">
        <v>505.01</v>
      </c>
      <c r="H88">
        <v>497.74</v>
      </c>
      <c r="I88">
        <v>485.2</v>
      </c>
      <c r="J88">
        <v>480.35</v>
      </c>
      <c r="K88">
        <v>484.08</v>
      </c>
      <c r="M88">
        <v>5158.0450000000001</v>
      </c>
      <c r="O88">
        <v>50</v>
      </c>
      <c r="P88">
        <v>607.95000000000005</v>
      </c>
      <c r="Q88">
        <v>559.84</v>
      </c>
      <c r="R88">
        <v>531.54</v>
      </c>
      <c r="S88">
        <v>502.185</v>
      </c>
      <c r="T88">
        <v>504.15</v>
      </c>
      <c r="U88">
        <v>505.01</v>
      </c>
      <c r="V88">
        <v>497.74</v>
      </c>
      <c r="W88">
        <v>485.2</v>
      </c>
      <c r="X88">
        <v>480.35</v>
      </c>
      <c r="Y88">
        <v>484.08</v>
      </c>
      <c r="AA88" s="22">
        <v>90</v>
      </c>
      <c r="AB88" s="43">
        <f>(AB74/AN44)-1</f>
        <v>0.29136620462390028</v>
      </c>
      <c r="AC88" s="43">
        <f>(AC74/AO44)-1</f>
        <v>0.20448410841437714</v>
      </c>
      <c r="AD88" s="43">
        <f>(AD74/AP44)-1</f>
        <v>0.26536550909434808</v>
      </c>
      <c r="AE88" s="43">
        <f>(AE74/AQ44)-1</f>
        <v>0.25777124229282578</v>
      </c>
      <c r="AF88" s="43">
        <f>(AF74/AR44)-1</f>
        <v>0.28833967656950987</v>
      </c>
      <c r="AG88" s="43">
        <f>(AG74/AS44)-1</f>
        <v>0.3506012061392707</v>
      </c>
      <c r="AH88" s="43">
        <f>(AH74/AT44)-1</f>
        <v>0.30469696645127264</v>
      </c>
      <c r="AI88" s="43">
        <f>(AI74/AU44)-1</f>
        <v>0.33056650917013486</v>
      </c>
      <c r="AJ88" s="43">
        <f>(AJ74/AV44)-1</f>
        <v>0.31426937802671939</v>
      </c>
      <c r="AK88" s="44">
        <f>(AK74/AW44)-1</f>
        <v>0.31063825317838356</v>
      </c>
      <c r="AM88" s="22">
        <v>90</v>
      </c>
      <c r="AN88" s="43">
        <f>(AB74/AN74)-1</f>
        <v>0.19627973097052798</v>
      </c>
      <c r="AO88" s="43">
        <f>(AC74/AO74)-1</f>
        <v>0.13483945714122569</v>
      </c>
      <c r="AP88" s="43">
        <f>(AD74/AP74)-1</f>
        <v>0.11350394155389787</v>
      </c>
      <c r="AQ88" s="43">
        <f>(AE74/AQ74)-1</f>
        <v>0.10956987698177212</v>
      </c>
      <c r="AR88" s="43">
        <f>(AF74/AR74)-1</f>
        <v>0.21007879156637577</v>
      </c>
      <c r="AS88" s="43">
        <f>(AG74/AS74)-1</f>
        <v>0.16030279476570208</v>
      </c>
      <c r="AT88" s="43">
        <f>(AH74/AT74)-1</f>
        <v>0.16207346125202249</v>
      </c>
      <c r="AU88" s="43">
        <f>(AI74/AU74)-1</f>
        <v>0.2072299810422733</v>
      </c>
      <c r="AV88" s="43">
        <f>(AJ74/AV74)-1</f>
        <v>0.17221136066466824</v>
      </c>
      <c r="AW88" s="43">
        <f>(AK74/AW74)-1</f>
        <v>0.21593022077729818</v>
      </c>
    </row>
    <row r="89" spans="1:85" ht="21.6" thickBot="1" x14ac:dyDescent="0.45">
      <c r="A89" s="2">
        <v>60</v>
      </c>
      <c r="B89">
        <v>604.05499999999995</v>
      </c>
      <c r="C89">
        <v>543.05499999999995</v>
      </c>
      <c r="D89">
        <v>521.73500000000001</v>
      </c>
      <c r="E89">
        <v>511.88</v>
      </c>
      <c r="F89">
        <v>481.685</v>
      </c>
      <c r="G89">
        <v>502.5</v>
      </c>
      <c r="H89">
        <v>462.66500000000002</v>
      </c>
      <c r="I89">
        <v>453.91</v>
      </c>
      <c r="J89">
        <v>458.94499999999999</v>
      </c>
      <c r="K89">
        <v>448.24</v>
      </c>
      <c r="M89">
        <v>4988.6699999999992</v>
      </c>
      <c r="O89">
        <v>60</v>
      </c>
      <c r="P89">
        <v>604.05499999999995</v>
      </c>
      <c r="Q89">
        <v>543.05499999999995</v>
      </c>
      <c r="R89">
        <v>521.73500000000001</v>
      </c>
      <c r="S89">
        <v>511.88</v>
      </c>
      <c r="T89">
        <v>481.685</v>
      </c>
      <c r="U89">
        <v>502.5</v>
      </c>
      <c r="V89">
        <v>462.66500000000002</v>
      </c>
      <c r="W89">
        <v>453.91</v>
      </c>
      <c r="X89">
        <v>458.94499999999999</v>
      </c>
      <c r="Y89">
        <v>448.24</v>
      </c>
      <c r="AA89" s="29">
        <v>100</v>
      </c>
      <c r="AB89" s="45">
        <f>(AB75/AN45)-1</f>
        <v>0.32983555413184074</v>
      </c>
      <c r="AC89" s="45">
        <f>(AC75/AO45)-1</f>
        <v>0.22457294972941355</v>
      </c>
      <c r="AD89" s="45">
        <f>(AD75/AP45)-1</f>
        <v>0.24252057961575901</v>
      </c>
      <c r="AE89" s="45">
        <f>(AE75/AQ45)-1</f>
        <v>0.26541212497691724</v>
      </c>
      <c r="AF89" s="45">
        <f>(AF75/AR45)-1</f>
        <v>0.27093061361194803</v>
      </c>
      <c r="AG89" s="45">
        <f>(AG75/AS45)-1</f>
        <v>0.36835376851281176</v>
      </c>
      <c r="AH89" s="45">
        <f>(AH75/AT45)-1</f>
        <v>0.39730712277186386</v>
      </c>
      <c r="AI89" s="45">
        <f>(AI75/AU45)-1</f>
        <v>0.38075260949640866</v>
      </c>
      <c r="AJ89" s="45">
        <f>(AJ75/AV45)-1</f>
        <v>0.34863735930011486</v>
      </c>
      <c r="AK89" s="46">
        <f>(AK75/AW45)-1</f>
        <v>0.33022450431617845</v>
      </c>
      <c r="AM89" s="29">
        <v>100</v>
      </c>
      <c r="AN89" s="43">
        <f>(AB75/AN75)-1</f>
        <v>0.21848490598406611</v>
      </c>
      <c r="AO89" s="43">
        <f>(AC75/AO75)-1</f>
        <v>0.12446293753865456</v>
      </c>
      <c r="AP89" s="43">
        <f>(AD75/AP75)-1</f>
        <v>0.1363476132134458</v>
      </c>
      <c r="AQ89" s="43">
        <f>(AE75/AQ75)-1</f>
        <v>0.14806164762894869</v>
      </c>
      <c r="AR89" s="43">
        <f>(AF75/AR75)-1</f>
        <v>0.14706786899249602</v>
      </c>
      <c r="AS89" s="43">
        <f>(AG75/AS75)-1</f>
        <v>0.17342092814941767</v>
      </c>
      <c r="AT89" s="43">
        <f>(AH75/AT75)-1</f>
        <v>0.15763943518224854</v>
      </c>
      <c r="AU89" s="43">
        <f>(AI75/AU75)-1</f>
        <v>0.14315304766249892</v>
      </c>
      <c r="AV89" s="43">
        <f>(AJ75/AV75)-1</f>
        <v>0.16836118915507137</v>
      </c>
      <c r="AW89" s="43">
        <f>(AK75/AW75)-1</f>
        <v>0.13195823000473839</v>
      </c>
    </row>
    <row r="90" spans="1:85" x14ac:dyDescent="0.3">
      <c r="A90" s="2">
        <v>70</v>
      </c>
      <c r="B90">
        <v>582.28499999999997</v>
      </c>
      <c r="C90">
        <v>527.36</v>
      </c>
      <c r="D90">
        <v>494.55</v>
      </c>
      <c r="E90">
        <v>478.59</v>
      </c>
      <c r="F90">
        <v>471.42</v>
      </c>
      <c r="G90">
        <v>461.42</v>
      </c>
      <c r="H90">
        <v>489.29500000000002</v>
      </c>
      <c r="I90">
        <v>474.35</v>
      </c>
      <c r="J90">
        <v>411.51</v>
      </c>
      <c r="K90">
        <v>480.45499999999998</v>
      </c>
      <c r="M90">
        <v>4871.2349999999997</v>
      </c>
      <c r="O90">
        <v>70</v>
      </c>
      <c r="P90">
        <v>582.28499999999997</v>
      </c>
      <c r="Q90">
        <v>527.36</v>
      </c>
      <c r="R90">
        <v>494.55</v>
      </c>
      <c r="S90">
        <v>478.59</v>
      </c>
      <c r="T90">
        <v>471.42</v>
      </c>
      <c r="U90">
        <v>461.42</v>
      </c>
      <c r="V90">
        <v>489.29500000000002</v>
      </c>
      <c r="W90">
        <v>474.35</v>
      </c>
      <c r="X90">
        <v>411.51</v>
      </c>
      <c r="Y90">
        <v>480.45499999999998</v>
      </c>
    </row>
    <row r="91" spans="1:85" x14ac:dyDescent="0.3">
      <c r="A91" s="2">
        <v>80</v>
      </c>
      <c r="B91">
        <v>557.97500000000002</v>
      </c>
      <c r="C91">
        <v>502.59</v>
      </c>
      <c r="D91">
        <v>494.86</v>
      </c>
      <c r="E91">
        <v>467.47500000000002</v>
      </c>
      <c r="F91">
        <v>450.35</v>
      </c>
      <c r="G91">
        <v>468.57</v>
      </c>
      <c r="H91">
        <v>409.34</v>
      </c>
      <c r="I91">
        <v>464.54</v>
      </c>
      <c r="J91">
        <v>454.62</v>
      </c>
      <c r="K91">
        <v>416.74</v>
      </c>
      <c r="M91">
        <v>4687.0600000000004</v>
      </c>
      <c r="O91">
        <v>80</v>
      </c>
      <c r="P91">
        <v>557.97500000000002</v>
      </c>
      <c r="Q91">
        <v>502.59</v>
      </c>
      <c r="R91">
        <v>494.86</v>
      </c>
      <c r="S91">
        <v>467.47500000000002</v>
      </c>
      <c r="T91">
        <v>450.35</v>
      </c>
      <c r="U91">
        <v>468.57</v>
      </c>
      <c r="V91">
        <v>409.34</v>
      </c>
      <c r="W91">
        <v>464.54</v>
      </c>
      <c r="X91">
        <v>454.62</v>
      </c>
      <c r="Y91">
        <v>416.74</v>
      </c>
      <c r="BA91" s="5">
        <f>AB66</f>
        <v>188.40452156600008</v>
      </c>
      <c r="BX91" s="4"/>
      <c r="BY91" s="4"/>
      <c r="BZ91" s="4"/>
      <c r="CA91" s="4"/>
      <c r="CB91" s="4"/>
      <c r="CC91" s="4"/>
      <c r="CD91" s="4"/>
      <c r="CE91" s="4"/>
      <c r="CF91" s="4"/>
      <c r="CG91" s="4"/>
    </row>
    <row r="92" spans="1:85" x14ac:dyDescent="0.3">
      <c r="A92" s="2">
        <v>90</v>
      </c>
      <c r="B92">
        <v>542.97500000000002</v>
      </c>
      <c r="C92">
        <v>496.69499999999999</v>
      </c>
      <c r="D92">
        <v>466.24</v>
      </c>
      <c r="E92">
        <v>464.02499999999998</v>
      </c>
      <c r="F92">
        <v>434.83</v>
      </c>
      <c r="G92">
        <v>437.11500000000001</v>
      </c>
      <c r="H92">
        <v>424.33</v>
      </c>
      <c r="I92">
        <v>417.75</v>
      </c>
      <c r="J92">
        <v>426.66</v>
      </c>
      <c r="K92">
        <v>434.69</v>
      </c>
      <c r="M92">
        <v>4545.3099999999995</v>
      </c>
      <c r="O92">
        <v>90</v>
      </c>
      <c r="P92">
        <v>542.97500000000002</v>
      </c>
      <c r="Q92">
        <v>496.69499999999999</v>
      </c>
      <c r="R92">
        <v>466.24</v>
      </c>
      <c r="S92">
        <v>464.02499999999998</v>
      </c>
      <c r="T92">
        <v>434.83</v>
      </c>
      <c r="U92">
        <v>437.11500000000001</v>
      </c>
      <c r="V92">
        <v>424.33</v>
      </c>
      <c r="W92">
        <v>417.75</v>
      </c>
      <c r="X92">
        <v>426.66</v>
      </c>
      <c r="Y92">
        <v>434.69</v>
      </c>
      <c r="BA92" s="5">
        <f>AC67</f>
        <v>246.15017427799995</v>
      </c>
      <c r="BX92" s="4"/>
      <c r="BY92" s="4"/>
      <c r="BZ92" s="4"/>
      <c r="CA92" s="4"/>
      <c r="CB92" s="4"/>
      <c r="CC92" s="4"/>
      <c r="CD92" s="4"/>
      <c r="CE92" s="4"/>
      <c r="CF92" s="4"/>
      <c r="CG92" s="4"/>
    </row>
    <row r="93" spans="1:85" x14ac:dyDescent="0.3">
      <c r="A93" s="2">
        <v>100</v>
      </c>
      <c r="B93">
        <v>553.22500000000002</v>
      </c>
      <c r="C93">
        <v>481.10500000000002</v>
      </c>
      <c r="D93">
        <v>455.73</v>
      </c>
      <c r="E93">
        <v>442.82499999999999</v>
      </c>
      <c r="F93">
        <v>449.61500000000001</v>
      </c>
      <c r="G93">
        <v>424.51</v>
      </c>
      <c r="H93">
        <v>420.73500000000001</v>
      </c>
      <c r="I93">
        <v>437.86</v>
      </c>
      <c r="J93">
        <v>428.54500000000002</v>
      </c>
      <c r="K93">
        <v>422.38</v>
      </c>
      <c r="M93">
        <v>4516.5300000000007</v>
      </c>
      <c r="O93">
        <v>100</v>
      </c>
      <c r="P93">
        <v>553.22500000000002</v>
      </c>
      <c r="Q93">
        <v>481.10500000000002</v>
      </c>
      <c r="R93">
        <v>455.73</v>
      </c>
      <c r="S93">
        <v>442.82499999999999</v>
      </c>
      <c r="T93">
        <v>449.61500000000001</v>
      </c>
      <c r="U93">
        <v>424.51</v>
      </c>
      <c r="V93">
        <v>420.73500000000001</v>
      </c>
      <c r="W93">
        <v>437.86</v>
      </c>
      <c r="X93">
        <v>428.54500000000002</v>
      </c>
      <c r="Y93">
        <v>422.38</v>
      </c>
      <c r="BA93" s="5">
        <f>AD68</f>
        <v>273.49035124200003</v>
      </c>
      <c r="BX93" s="4"/>
      <c r="BY93" s="4"/>
      <c r="BZ93" s="4"/>
      <c r="CA93" s="4"/>
      <c r="CB93" s="4"/>
      <c r="CC93" s="4"/>
      <c r="CD93" s="4"/>
      <c r="CE93" s="4"/>
      <c r="CF93" s="4"/>
      <c r="CG93" s="4"/>
    </row>
    <row r="94" spans="1:85" x14ac:dyDescent="0.3">
      <c r="A94" s="2" t="s">
        <v>22</v>
      </c>
      <c r="BA94" s="5">
        <f>AE69</f>
        <v>293.75783717000002</v>
      </c>
      <c r="BX94" s="4"/>
      <c r="BY94" s="4"/>
      <c r="BZ94" s="4"/>
      <c r="CA94" s="4"/>
      <c r="CB94" s="4"/>
      <c r="CC94" s="4"/>
      <c r="CD94" s="4"/>
      <c r="CE94" s="4"/>
      <c r="CF94" s="4"/>
      <c r="CG94" s="4"/>
    </row>
    <row r="95" spans="1:85" x14ac:dyDescent="0.3">
      <c r="A95" s="2" t="s">
        <v>19</v>
      </c>
      <c r="B95">
        <v>6627.7450000000017</v>
      </c>
      <c r="C95">
        <v>6068.0949999999993</v>
      </c>
      <c r="D95">
        <v>5841.8649999999998</v>
      </c>
      <c r="E95">
        <v>5729.2699999999995</v>
      </c>
      <c r="F95">
        <v>5616.6450000000004</v>
      </c>
      <c r="G95">
        <v>5574.7449999999999</v>
      </c>
      <c r="H95">
        <v>5526.96</v>
      </c>
      <c r="I95">
        <v>5548.19</v>
      </c>
      <c r="J95">
        <v>5501.0649999999996</v>
      </c>
      <c r="K95">
        <v>5485.1549999999988</v>
      </c>
      <c r="M95">
        <v>57519.734999999993</v>
      </c>
      <c r="BA95" s="5">
        <f>AF70</f>
        <v>312.65552788800005</v>
      </c>
      <c r="BX95" s="4"/>
      <c r="BY95" s="4"/>
      <c r="BZ95" s="4"/>
      <c r="CA95" s="4"/>
      <c r="CB95" s="4"/>
      <c r="CC95" s="4"/>
      <c r="CD95" s="4"/>
      <c r="CE95" s="4"/>
      <c r="CF95" s="4"/>
      <c r="CG95" s="4"/>
    </row>
    <row r="96" spans="1:85" x14ac:dyDescent="0.3">
      <c r="BA96" s="5">
        <f>AG71</f>
        <v>331.53759571399996</v>
      </c>
      <c r="BX96" s="4"/>
      <c r="BY96" s="4"/>
      <c r="BZ96" s="4"/>
      <c r="CA96" s="4"/>
      <c r="CB96" s="4"/>
      <c r="CC96" s="4"/>
      <c r="CD96" s="4"/>
      <c r="CE96" s="4"/>
      <c r="CF96" s="4"/>
      <c r="CG96" s="4"/>
    </row>
    <row r="97" spans="1:85" x14ac:dyDescent="0.3">
      <c r="A97">
        <v>8</v>
      </c>
      <c r="BA97" s="5">
        <f>AH72</f>
        <v>350.69226462999995</v>
      </c>
      <c r="BX97" s="4"/>
      <c r="BY97" s="4"/>
      <c r="BZ97" s="4"/>
      <c r="CA97" s="4"/>
      <c r="CB97" s="4"/>
      <c r="CC97" s="4"/>
      <c r="CD97" s="4"/>
      <c r="CE97" s="4"/>
      <c r="CF97" s="4"/>
      <c r="CG97" s="4"/>
    </row>
    <row r="98" spans="1:85" x14ac:dyDescent="0.3">
      <c r="A98" s="1" t="s">
        <v>28</v>
      </c>
      <c r="B98" s="1" t="s">
        <v>20</v>
      </c>
      <c r="O98" t="s">
        <v>28</v>
      </c>
      <c r="P98" t="s">
        <v>20</v>
      </c>
      <c r="BA98" s="5">
        <f>AI73</f>
        <v>369.26636782399999</v>
      </c>
      <c r="BX98" s="4"/>
      <c r="BY98" s="4"/>
      <c r="BZ98" s="4"/>
      <c r="CA98" s="4"/>
      <c r="CB98" s="4"/>
      <c r="CC98" s="4"/>
      <c r="CD98" s="4"/>
      <c r="CE98" s="4"/>
      <c r="CF98" s="4"/>
      <c r="CG98" s="4"/>
    </row>
    <row r="99" spans="1:85" x14ac:dyDescent="0.3">
      <c r="A99" s="1" t="s">
        <v>18</v>
      </c>
      <c r="B99">
        <v>10</v>
      </c>
      <c r="C99">
        <v>20</v>
      </c>
      <c r="D99">
        <v>30</v>
      </c>
      <c r="E99">
        <v>40</v>
      </c>
      <c r="F99">
        <v>50</v>
      </c>
      <c r="G99">
        <v>60</v>
      </c>
      <c r="H99">
        <v>70</v>
      </c>
      <c r="I99">
        <v>80</v>
      </c>
      <c r="J99">
        <v>90</v>
      </c>
      <c r="K99">
        <v>100</v>
      </c>
      <c r="L99" t="s">
        <v>22</v>
      </c>
      <c r="M99" t="s">
        <v>19</v>
      </c>
      <c r="O99" t="s">
        <v>18</v>
      </c>
      <c r="P99">
        <v>10</v>
      </c>
      <c r="Q99">
        <v>20</v>
      </c>
      <c r="R99">
        <v>30</v>
      </c>
      <c r="S99">
        <v>40</v>
      </c>
      <c r="T99">
        <v>50</v>
      </c>
      <c r="U99">
        <v>60</v>
      </c>
      <c r="V99">
        <v>70</v>
      </c>
      <c r="W99">
        <v>80</v>
      </c>
      <c r="X99">
        <v>90</v>
      </c>
      <c r="Y99">
        <v>100</v>
      </c>
      <c r="BA99" s="5">
        <f>AJ74</f>
        <v>386.78739337599995</v>
      </c>
      <c r="BX99" s="4"/>
      <c r="BY99" s="4"/>
      <c r="BZ99" s="4"/>
      <c r="CA99" s="4"/>
      <c r="CB99" s="4"/>
      <c r="CC99" s="4"/>
      <c r="CD99" s="4"/>
      <c r="CE99" s="4"/>
      <c r="CF99" s="4"/>
      <c r="CG99" s="4"/>
    </row>
    <row r="100" spans="1:85" x14ac:dyDescent="0.3">
      <c r="A100" s="2">
        <v>10</v>
      </c>
      <c r="B100">
        <v>1080.5999999999999</v>
      </c>
      <c r="C100">
        <v>1053.04</v>
      </c>
      <c r="D100">
        <v>1052.57</v>
      </c>
      <c r="E100">
        <v>1054.6949999999999</v>
      </c>
      <c r="F100">
        <v>1046.855</v>
      </c>
      <c r="G100">
        <v>1050.375</v>
      </c>
      <c r="H100">
        <v>1048.175</v>
      </c>
      <c r="I100">
        <v>1039.085</v>
      </c>
      <c r="J100">
        <v>1050.625</v>
      </c>
      <c r="K100">
        <v>1048.3399999999999</v>
      </c>
      <c r="M100">
        <v>10524.36</v>
      </c>
      <c r="O100">
        <v>10</v>
      </c>
      <c r="P100">
        <v>1080.5999999999999</v>
      </c>
      <c r="Q100">
        <v>1053.04</v>
      </c>
      <c r="R100">
        <v>1052.57</v>
      </c>
      <c r="S100">
        <v>1054.6949999999999</v>
      </c>
      <c r="T100">
        <v>1046.855</v>
      </c>
      <c r="U100">
        <v>1050.375</v>
      </c>
      <c r="V100">
        <v>1048.175</v>
      </c>
      <c r="W100">
        <v>1039.085</v>
      </c>
      <c r="X100">
        <v>1050.625</v>
      </c>
      <c r="Y100">
        <v>1048.3399999999999</v>
      </c>
      <c r="BA100" s="5">
        <f>AK75</f>
        <v>404.15617317200002</v>
      </c>
      <c r="BX100" s="4"/>
      <c r="BY100" s="4"/>
      <c r="BZ100" s="4"/>
      <c r="CA100" s="4"/>
      <c r="CB100" s="4"/>
      <c r="CC100" s="4"/>
      <c r="CD100" s="4"/>
      <c r="CE100" s="4"/>
      <c r="CF100" s="4"/>
      <c r="CG100" s="4"/>
    </row>
    <row r="101" spans="1:85" x14ac:dyDescent="0.3">
      <c r="A101" s="2">
        <v>20</v>
      </c>
      <c r="B101">
        <v>743.42</v>
      </c>
      <c r="C101">
        <v>703.18</v>
      </c>
      <c r="D101">
        <v>670.33500000000004</v>
      </c>
      <c r="E101">
        <v>676.29499999999996</v>
      </c>
      <c r="F101">
        <v>662.24</v>
      </c>
      <c r="G101">
        <v>652.28499999999997</v>
      </c>
      <c r="H101">
        <v>651.58000000000004</v>
      </c>
      <c r="I101">
        <v>651.72</v>
      </c>
      <c r="J101">
        <v>649.97500000000002</v>
      </c>
      <c r="K101">
        <v>648.62</v>
      </c>
      <c r="M101">
        <v>6709.6500000000005</v>
      </c>
      <c r="O101">
        <v>20</v>
      </c>
      <c r="P101">
        <v>743.42</v>
      </c>
      <c r="Q101">
        <v>703.18</v>
      </c>
      <c r="R101">
        <v>670.33500000000004</v>
      </c>
      <c r="S101">
        <v>676.29499999999996</v>
      </c>
      <c r="T101">
        <v>662.24</v>
      </c>
      <c r="U101">
        <v>652.28499999999997</v>
      </c>
      <c r="V101">
        <v>651.58000000000004</v>
      </c>
      <c r="W101">
        <v>651.72</v>
      </c>
      <c r="X101">
        <v>649.97500000000002</v>
      </c>
      <c r="Y101">
        <v>648.62</v>
      </c>
    </row>
    <row r="102" spans="1:85" x14ac:dyDescent="0.3">
      <c r="A102" s="2">
        <v>30</v>
      </c>
      <c r="B102">
        <v>656.03</v>
      </c>
      <c r="C102">
        <v>583.92499999999995</v>
      </c>
      <c r="D102">
        <v>563.82500000000005</v>
      </c>
      <c r="E102">
        <v>545.4</v>
      </c>
      <c r="F102">
        <v>551.66</v>
      </c>
      <c r="G102">
        <v>553.13499999999999</v>
      </c>
      <c r="H102">
        <v>534.17499999999995</v>
      </c>
      <c r="I102">
        <v>550.08000000000004</v>
      </c>
      <c r="J102">
        <v>529.25</v>
      </c>
      <c r="K102">
        <v>555.21</v>
      </c>
      <c r="M102">
        <v>5622.69</v>
      </c>
      <c r="O102">
        <v>30</v>
      </c>
      <c r="P102">
        <v>656.03</v>
      </c>
      <c r="Q102">
        <v>583.92499999999995</v>
      </c>
      <c r="R102">
        <v>563.82500000000005</v>
      </c>
      <c r="S102">
        <v>545.4</v>
      </c>
      <c r="T102">
        <v>551.66</v>
      </c>
      <c r="U102">
        <v>553.13499999999999</v>
      </c>
      <c r="V102">
        <v>534.17499999999995</v>
      </c>
      <c r="W102">
        <v>550.08000000000004</v>
      </c>
      <c r="X102">
        <v>529.25</v>
      </c>
      <c r="Y102">
        <v>555.21</v>
      </c>
    </row>
    <row r="103" spans="1:85" x14ac:dyDescent="0.3">
      <c r="A103" s="2">
        <v>40</v>
      </c>
      <c r="B103">
        <v>620.88</v>
      </c>
      <c r="C103">
        <v>546.66499999999996</v>
      </c>
      <c r="D103">
        <v>519.40499999999997</v>
      </c>
      <c r="E103">
        <v>502.05500000000001</v>
      </c>
      <c r="F103">
        <v>500.8</v>
      </c>
      <c r="G103">
        <v>489.80500000000001</v>
      </c>
      <c r="H103">
        <v>469.005</v>
      </c>
      <c r="I103">
        <v>473.73</v>
      </c>
      <c r="J103">
        <v>488.1</v>
      </c>
      <c r="K103">
        <v>514.22500000000002</v>
      </c>
      <c r="M103">
        <v>5124.670000000001</v>
      </c>
      <c r="O103">
        <v>40</v>
      </c>
      <c r="P103">
        <v>620.88</v>
      </c>
      <c r="Q103">
        <v>546.66499999999996</v>
      </c>
      <c r="R103">
        <v>519.40499999999997</v>
      </c>
      <c r="S103">
        <v>502.05500000000001</v>
      </c>
      <c r="T103">
        <v>500.8</v>
      </c>
      <c r="U103">
        <v>489.80500000000001</v>
      </c>
      <c r="V103">
        <v>469.005</v>
      </c>
      <c r="W103">
        <v>473.73</v>
      </c>
      <c r="X103">
        <v>488.1</v>
      </c>
      <c r="Y103">
        <v>514.22500000000002</v>
      </c>
    </row>
    <row r="104" spans="1:85" x14ac:dyDescent="0.3">
      <c r="A104" s="2">
        <v>50</v>
      </c>
      <c r="B104">
        <v>596.72500000000002</v>
      </c>
      <c r="C104">
        <v>521.42999999999995</v>
      </c>
      <c r="D104">
        <v>496.82</v>
      </c>
      <c r="E104">
        <v>498.45499999999998</v>
      </c>
      <c r="F104">
        <v>488.54500000000002</v>
      </c>
      <c r="G104">
        <v>490.7</v>
      </c>
      <c r="H104">
        <v>484.76</v>
      </c>
      <c r="I104">
        <v>476.28</v>
      </c>
      <c r="J104">
        <v>473.02</v>
      </c>
      <c r="K104">
        <v>476.62</v>
      </c>
      <c r="M104">
        <v>5003.3549999999987</v>
      </c>
      <c r="O104">
        <v>50</v>
      </c>
      <c r="P104">
        <v>596.72500000000002</v>
      </c>
      <c r="Q104">
        <v>521.42999999999995</v>
      </c>
      <c r="R104">
        <v>496.82</v>
      </c>
      <c r="S104">
        <v>498.45499999999998</v>
      </c>
      <c r="T104">
        <v>488.54500000000002</v>
      </c>
      <c r="U104">
        <v>490.7</v>
      </c>
      <c r="V104">
        <v>484.76</v>
      </c>
      <c r="W104">
        <v>476.28</v>
      </c>
      <c r="X104">
        <v>473.02</v>
      </c>
      <c r="Y104">
        <v>476.62</v>
      </c>
    </row>
    <row r="105" spans="1:85" x14ac:dyDescent="0.3">
      <c r="A105" s="2">
        <v>60</v>
      </c>
      <c r="B105">
        <v>587.86</v>
      </c>
      <c r="C105">
        <v>533.71</v>
      </c>
      <c r="D105">
        <v>511.73500000000001</v>
      </c>
      <c r="E105">
        <v>498.52499999999998</v>
      </c>
      <c r="F105">
        <v>471.39</v>
      </c>
      <c r="G105">
        <v>481.95499999999998</v>
      </c>
      <c r="H105">
        <v>446.3</v>
      </c>
      <c r="I105">
        <v>439.54500000000002</v>
      </c>
      <c r="J105">
        <v>446.935</v>
      </c>
      <c r="K105">
        <v>432.5</v>
      </c>
      <c r="M105">
        <v>4850.4550000000008</v>
      </c>
      <c r="O105">
        <v>60</v>
      </c>
      <c r="P105">
        <v>587.86</v>
      </c>
      <c r="Q105">
        <v>533.71</v>
      </c>
      <c r="R105">
        <v>511.73500000000001</v>
      </c>
      <c r="S105">
        <v>498.52499999999998</v>
      </c>
      <c r="T105">
        <v>471.39</v>
      </c>
      <c r="U105">
        <v>481.95499999999998</v>
      </c>
      <c r="V105">
        <v>446.3</v>
      </c>
      <c r="W105">
        <v>439.54500000000002</v>
      </c>
      <c r="X105">
        <v>446.935</v>
      </c>
      <c r="Y105">
        <v>432.5</v>
      </c>
    </row>
    <row r="106" spans="1:85" x14ac:dyDescent="0.3">
      <c r="A106" s="2">
        <v>70</v>
      </c>
      <c r="B106">
        <v>565.58500000000004</v>
      </c>
      <c r="C106">
        <v>504.255</v>
      </c>
      <c r="D106">
        <v>482.30500000000001</v>
      </c>
      <c r="E106">
        <v>466.29500000000002</v>
      </c>
      <c r="F106">
        <v>469.47</v>
      </c>
      <c r="G106">
        <v>475.79500000000002</v>
      </c>
      <c r="H106">
        <v>465.45499999999998</v>
      </c>
      <c r="I106">
        <v>468.03500000000003</v>
      </c>
      <c r="J106">
        <v>398.17500000000001</v>
      </c>
      <c r="K106">
        <v>471.78500000000003</v>
      </c>
      <c r="M106">
        <v>4767.1549999999997</v>
      </c>
      <c r="O106">
        <v>70</v>
      </c>
      <c r="P106">
        <v>565.58500000000004</v>
      </c>
      <c r="Q106">
        <v>504.255</v>
      </c>
      <c r="R106">
        <v>482.30500000000001</v>
      </c>
      <c r="S106">
        <v>466.29500000000002</v>
      </c>
      <c r="T106">
        <v>469.47</v>
      </c>
      <c r="U106">
        <v>475.79500000000002</v>
      </c>
      <c r="V106">
        <v>465.45499999999998</v>
      </c>
      <c r="W106">
        <v>468.03500000000003</v>
      </c>
      <c r="X106">
        <v>398.17500000000001</v>
      </c>
      <c r="Y106">
        <v>471.78500000000003</v>
      </c>
    </row>
    <row r="107" spans="1:85" x14ac:dyDescent="0.3">
      <c r="A107" s="2">
        <v>80</v>
      </c>
      <c r="B107">
        <v>553.16499999999996</v>
      </c>
      <c r="C107">
        <v>498.55500000000001</v>
      </c>
      <c r="D107">
        <v>485.22500000000002</v>
      </c>
      <c r="E107">
        <v>456.1</v>
      </c>
      <c r="F107">
        <v>464.03</v>
      </c>
      <c r="G107">
        <v>462.245</v>
      </c>
      <c r="H107">
        <v>400.37</v>
      </c>
      <c r="I107">
        <v>459.70499999999998</v>
      </c>
      <c r="J107">
        <v>438.93</v>
      </c>
      <c r="K107">
        <v>413.30500000000001</v>
      </c>
      <c r="M107">
        <v>4631.63</v>
      </c>
      <c r="O107">
        <v>80</v>
      </c>
      <c r="P107">
        <v>553.16499999999996</v>
      </c>
      <c r="Q107">
        <v>498.55500000000001</v>
      </c>
      <c r="R107">
        <v>485.22500000000002</v>
      </c>
      <c r="S107">
        <v>456.1</v>
      </c>
      <c r="T107">
        <v>464.03</v>
      </c>
      <c r="U107">
        <v>462.245</v>
      </c>
      <c r="V107">
        <v>400.37</v>
      </c>
      <c r="W107">
        <v>459.70499999999998</v>
      </c>
      <c r="X107">
        <v>438.93</v>
      </c>
      <c r="Y107">
        <v>413.30500000000001</v>
      </c>
    </row>
    <row r="108" spans="1:85" x14ac:dyDescent="0.3">
      <c r="A108" s="2">
        <v>90</v>
      </c>
      <c r="B108">
        <v>537.25</v>
      </c>
      <c r="C108">
        <v>478.935</v>
      </c>
      <c r="D108">
        <v>464.01</v>
      </c>
      <c r="E108">
        <v>446.36500000000001</v>
      </c>
      <c r="F108">
        <v>425.935</v>
      </c>
      <c r="G108">
        <v>428.35500000000002</v>
      </c>
      <c r="H108">
        <v>414.73500000000001</v>
      </c>
      <c r="I108">
        <v>410.33499999999998</v>
      </c>
      <c r="J108">
        <v>415.88499999999999</v>
      </c>
      <c r="K108">
        <v>423.01</v>
      </c>
      <c r="M108">
        <v>4444.8150000000005</v>
      </c>
      <c r="O108">
        <v>90</v>
      </c>
      <c r="P108">
        <v>537.25</v>
      </c>
      <c r="Q108">
        <v>478.935</v>
      </c>
      <c r="R108">
        <v>464.01</v>
      </c>
      <c r="S108">
        <v>446.36500000000001</v>
      </c>
      <c r="T108">
        <v>425.935</v>
      </c>
      <c r="U108">
        <v>428.35500000000002</v>
      </c>
      <c r="V108">
        <v>414.73500000000001</v>
      </c>
      <c r="W108">
        <v>410.33499999999998</v>
      </c>
      <c r="X108">
        <v>415.88499999999999</v>
      </c>
      <c r="Y108">
        <v>423.01</v>
      </c>
    </row>
    <row r="109" spans="1:85" x14ac:dyDescent="0.3">
      <c r="A109" s="2">
        <v>100</v>
      </c>
      <c r="B109">
        <v>521.65499999999997</v>
      </c>
      <c r="C109">
        <v>483.55500000000001</v>
      </c>
      <c r="D109">
        <v>431.21</v>
      </c>
      <c r="E109">
        <v>423.78</v>
      </c>
      <c r="F109">
        <v>444.67500000000001</v>
      </c>
      <c r="G109">
        <v>414.10500000000002</v>
      </c>
      <c r="H109">
        <v>404.31</v>
      </c>
      <c r="I109">
        <v>418.77499999999998</v>
      </c>
      <c r="J109">
        <v>430.78500000000003</v>
      </c>
      <c r="K109">
        <v>415.09</v>
      </c>
      <c r="M109">
        <v>4387.9399999999996</v>
      </c>
      <c r="O109">
        <v>100</v>
      </c>
      <c r="P109">
        <v>521.65499999999997</v>
      </c>
      <c r="Q109">
        <v>483.55500000000001</v>
      </c>
      <c r="R109">
        <v>431.21</v>
      </c>
      <c r="S109">
        <v>423.78</v>
      </c>
      <c r="T109">
        <v>444.67500000000001</v>
      </c>
      <c r="U109">
        <v>414.10500000000002</v>
      </c>
      <c r="V109">
        <v>404.31</v>
      </c>
      <c r="W109">
        <v>418.77499999999998</v>
      </c>
      <c r="X109">
        <v>430.78500000000003</v>
      </c>
      <c r="Y109">
        <v>415.09</v>
      </c>
    </row>
    <row r="110" spans="1:85" x14ac:dyDescent="0.3">
      <c r="A110" s="2" t="s">
        <v>22</v>
      </c>
    </row>
    <row r="111" spans="1:85" x14ac:dyDescent="0.3">
      <c r="A111" s="2" t="s">
        <v>19</v>
      </c>
      <c r="B111">
        <v>6463.17</v>
      </c>
      <c r="C111">
        <v>5907.25</v>
      </c>
      <c r="D111">
        <v>5677.4400000000014</v>
      </c>
      <c r="E111">
        <v>5567.9649999999992</v>
      </c>
      <c r="F111">
        <v>5525.6</v>
      </c>
      <c r="G111">
        <v>5498.7549999999992</v>
      </c>
      <c r="H111">
        <v>5318.8650000000007</v>
      </c>
      <c r="I111">
        <v>5387.29</v>
      </c>
      <c r="J111">
        <v>5321.68</v>
      </c>
      <c r="K111">
        <v>5398.7050000000008</v>
      </c>
      <c r="M111">
        <v>56066.720000000001</v>
      </c>
    </row>
    <row r="113" spans="1:25" x14ac:dyDescent="0.3">
      <c r="A113">
        <v>9</v>
      </c>
    </row>
    <row r="114" spans="1:25" x14ac:dyDescent="0.3">
      <c r="A114" s="1" t="s">
        <v>28</v>
      </c>
      <c r="B114" s="1" t="s">
        <v>20</v>
      </c>
      <c r="O114" t="s">
        <v>28</v>
      </c>
      <c r="P114" t="s">
        <v>20</v>
      </c>
    </row>
    <row r="115" spans="1:25" x14ac:dyDescent="0.3">
      <c r="A115" s="1" t="s">
        <v>18</v>
      </c>
      <c r="B115">
        <v>10</v>
      </c>
      <c r="C115">
        <v>20</v>
      </c>
      <c r="D115">
        <v>30</v>
      </c>
      <c r="E115">
        <v>40</v>
      </c>
      <c r="F115">
        <v>50</v>
      </c>
      <c r="G115">
        <v>60</v>
      </c>
      <c r="H115">
        <v>70</v>
      </c>
      <c r="I115">
        <v>80</v>
      </c>
      <c r="J115">
        <v>90</v>
      </c>
      <c r="K115">
        <v>100</v>
      </c>
      <c r="L115" t="s">
        <v>22</v>
      </c>
      <c r="M115" t="s">
        <v>19</v>
      </c>
      <c r="O115" t="s">
        <v>18</v>
      </c>
      <c r="P115">
        <v>10</v>
      </c>
      <c r="Q115">
        <v>20</v>
      </c>
      <c r="R115">
        <v>30</v>
      </c>
      <c r="S115">
        <v>40</v>
      </c>
      <c r="T115">
        <v>50</v>
      </c>
      <c r="U115">
        <v>60</v>
      </c>
      <c r="V115">
        <v>70</v>
      </c>
      <c r="W115">
        <v>80</v>
      </c>
      <c r="X115">
        <v>90</v>
      </c>
      <c r="Y115">
        <v>100</v>
      </c>
    </row>
    <row r="116" spans="1:25" x14ac:dyDescent="0.3">
      <c r="A116" s="2">
        <v>10</v>
      </c>
      <c r="B116">
        <v>1082.1949999999999</v>
      </c>
      <c r="C116">
        <v>1065.2249999999999</v>
      </c>
      <c r="D116">
        <v>1042.98</v>
      </c>
      <c r="E116">
        <v>1045.1949999999999</v>
      </c>
      <c r="F116">
        <v>1045.73</v>
      </c>
      <c r="G116">
        <v>1032.7349999999999</v>
      </c>
      <c r="H116">
        <v>1041.2750000000001</v>
      </c>
      <c r="I116">
        <v>1041.98</v>
      </c>
      <c r="J116">
        <v>1050.9949999999999</v>
      </c>
      <c r="K116">
        <v>1048.3</v>
      </c>
      <c r="M116">
        <v>10496.61</v>
      </c>
      <c r="O116">
        <v>10</v>
      </c>
      <c r="P116">
        <v>1082.1949999999999</v>
      </c>
      <c r="Q116">
        <v>1065.2249999999999</v>
      </c>
      <c r="R116">
        <v>1042.98</v>
      </c>
      <c r="S116">
        <v>1045.1949999999999</v>
      </c>
      <c r="T116">
        <v>1045.73</v>
      </c>
      <c r="U116">
        <v>1032.7349999999999</v>
      </c>
      <c r="V116">
        <v>1041.2750000000001</v>
      </c>
      <c r="W116">
        <v>1041.98</v>
      </c>
      <c r="X116">
        <v>1050.9949999999999</v>
      </c>
      <c r="Y116">
        <v>1048.3</v>
      </c>
    </row>
    <row r="117" spans="1:25" x14ac:dyDescent="0.3">
      <c r="A117" s="2">
        <v>20</v>
      </c>
      <c r="B117">
        <v>727.495</v>
      </c>
      <c r="C117">
        <v>688.74</v>
      </c>
      <c r="D117">
        <v>669.19500000000005</v>
      </c>
      <c r="E117">
        <v>672.16499999999996</v>
      </c>
      <c r="F117">
        <v>674.13</v>
      </c>
      <c r="G117">
        <v>663.98</v>
      </c>
      <c r="H117">
        <v>664.66</v>
      </c>
      <c r="I117">
        <v>654.125</v>
      </c>
      <c r="J117">
        <v>656.82</v>
      </c>
      <c r="K117">
        <v>665.88</v>
      </c>
      <c r="M117">
        <v>6737.1900000000005</v>
      </c>
      <c r="O117">
        <v>20</v>
      </c>
      <c r="P117">
        <v>727.495</v>
      </c>
      <c r="Q117">
        <v>688.74</v>
      </c>
      <c r="R117">
        <v>669.19500000000005</v>
      </c>
      <c r="S117">
        <v>672.16499999999996</v>
      </c>
      <c r="T117">
        <v>674.13</v>
      </c>
      <c r="U117">
        <v>663.98</v>
      </c>
      <c r="V117">
        <v>664.66</v>
      </c>
      <c r="W117">
        <v>654.125</v>
      </c>
      <c r="X117">
        <v>656.82</v>
      </c>
      <c r="Y117">
        <v>665.88</v>
      </c>
    </row>
    <row r="118" spans="1:25" x14ac:dyDescent="0.3">
      <c r="A118" s="2">
        <v>30</v>
      </c>
      <c r="B118">
        <v>647.43499999999995</v>
      </c>
      <c r="C118">
        <v>585.1</v>
      </c>
      <c r="D118">
        <v>558.73500000000001</v>
      </c>
      <c r="E118">
        <v>550.54</v>
      </c>
      <c r="F118">
        <v>536.25</v>
      </c>
      <c r="G118">
        <v>552.26</v>
      </c>
      <c r="H118">
        <v>528.30999999999995</v>
      </c>
      <c r="I118">
        <v>554.40499999999997</v>
      </c>
      <c r="J118">
        <v>526.91</v>
      </c>
      <c r="K118">
        <v>553.125</v>
      </c>
      <c r="M118">
        <v>5593.07</v>
      </c>
      <c r="O118">
        <v>30</v>
      </c>
      <c r="P118">
        <v>647.43499999999995</v>
      </c>
      <c r="Q118">
        <v>585.1</v>
      </c>
      <c r="R118">
        <v>558.73500000000001</v>
      </c>
      <c r="S118">
        <v>550.54</v>
      </c>
      <c r="T118">
        <v>536.25</v>
      </c>
      <c r="U118">
        <v>552.26</v>
      </c>
      <c r="V118">
        <v>528.30999999999995</v>
      </c>
      <c r="W118">
        <v>554.40499999999997</v>
      </c>
      <c r="X118">
        <v>526.91</v>
      </c>
      <c r="Y118">
        <v>553.125</v>
      </c>
    </row>
    <row r="119" spans="1:25" x14ac:dyDescent="0.3">
      <c r="A119" s="2">
        <v>40</v>
      </c>
      <c r="B119">
        <v>612.58500000000004</v>
      </c>
      <c r="C119">
        <v>537.35</v>
      </c>
      <c r="D119">
        <v>518.12</v>
      </c>
      <c r="E119">
        <v>515.81500000000005</v>
      </c>
      <c r="F119">
        <v>492.55500000000001</v>
      </c>
      <c r="G119">
        <v>482.685</v>
      </c>
      <c r="H119">
        <v>482.65499999999997</v>
      </c>
      <c r="I119">
        <v>508.71</v>
      </c>
      <c r="J119">
        <v>482.36</v>
      </c>
      <c r="K119">
        <v>476.22500000000002</v>
      </c>
      <c r="M119">
        <v>5109.0599999999995</v>
      </c>
      <c r="O119">
        <v>40</v>
      </c>
      <c r="P119">
        <v>612.58500000000004</v>
      </c>
      <c r="Q119">
        <v>537.35</v>
      </c>
      <c r="R119">
        <v>518.12</v>
      </c>
      <c r="S119">
        <v>515.81500000000005</v>
      </c>
      <c r="T119">
        <v>492.55500000000001</v>
      </c>
      <c r="U119">
        <v>482.685</v>
      </c>
      <c r="V119">
        <v>482.65499999999997</v>
      </c>
      <c r="W119">
        <v>508.71</v>
      </c>
      <c r="X119">
        <v>482.36</v>
      </c>
      <c r="Y119">
        <v>476.22500000000002</v>
      </c>
    </row>
    <row r="120" spans="1:25" x14ac:dyDescent="0.3">
      <c r="A120" s="2">
        <v>50</v>
      </c>
      <c r="B120">
        <v>591.15499999999997</v>
      </c>
      <c r="C120">
        <v>519.57000000000005</v>
      </c>
      <c r="D120">
        <v>498.27499999999998</v>
      </c>
      <c r="E120">
        <v>493.32499999999999</v>
      </c>
      <c r="F120">
        <v>489.61500000000001</v>
      </c>
      <c r="G120">
        <v>481.62</v>
      </c>
      <c r="H120">
        <v>473.29</v>
      </c>
      <c r="I120">
        <v>473.89</v>
      </c>
      <c r="J120">
        <v>484.67</v>
      </c>
      <c r="K120">
        <v>487.23500000000001</v>
      </c>
      <c r="M120">
        <v>4992.6449999999986</v>
      </c>
      <c r="O120">
        <v>50</v>
      </c>
      <c r="P120">
        <v>591.15499999999997</v>
      </c>
      <c r="Q120">
        <v>519.57000000000005</v>
      </c>
      <c r="R120">
        <v>498.27499999999998</v>
      </c>
      <c r="S120">
        <v>493.32499999999999</v>
      </c>
      <c r="T120">
        <v>489.61500000000001</v>
      </c>
      <c r="U120">
        <v>481.62</v>
      </c>
      <c r="V120">
        <v>473.29</v>
      </c>
      <c r="W120">
        <v>473.89</v>
      </c>
      <c r="X120">
        <v>484.67</v>
      </c>
      <c r="Y120">
        <v>487.23500000000001</v>
      </c>
    </row>
    <row r="121" spans="1:25" x14ac:dyDescent="0.3">
      <c r="A121" s="2">
        <v>60</v>
      </c>
      <c r="B121">
        <v>603.4</v>
      </c>
      <c r="C121">
        <v>517.48</v>
      </c>
      <c r="D121">
        <v>506.15</v>
      </c>
      <c r="E121">
        <v>483.46499999999997</v>
      </c>
      <c r="F121">
        <v>460.55500000000001</v>
      </c>
      <c r="G121">
        <v>470.78</v>
      </c>
      <c r="H121">
        <v>473.35500000000002</v>
      </c>
      <c r="I121">
        <v>457.1</v>
      </c>
      <c r="J121">
        <v>438.91500000000002</v>
      </c>
      <c r="K121">
        <v>436.64499999999998</v>
      </c>
      <c r="M121">
        <v>4847.8449999999993</v>
      </c>
      <c r="O121">
        <v>60</v>
      </c>
      <c r="P121">
        <v>603.4</v>
      </c>
      <c r="Q121">
        <v>517.48</v>
      </c>
      <c r="R121">
        <v>506.15</v>
      </c>
      <c r="S121">
        <v>483.46499999999997</v>
      </c>
      <c r="T121">
        <v>460.55500000000001</v>
      </c>
      <c r="U121">
        <v>470.78</v>
      </c>
      <c r="V121">
        <v>473.35500000000002</v>
      </c>
      <c r="W121">
        <v>457.1</v>
      </c>
      <c r="X121">
        <v>438.91500000000002</v>
      </c>
      <c r="Y121">
        <v>436.64499999999998</v>
      </c>
    </row>
    <row r="122" spans="1:25" x14ac:dyDescent="0.3">
      <c r="A122" s="2">
        <v>70</v>
      </c>
      <c r="B122">
        <v>565.99</v>
      </c>
      <c r="C122">
        <v>509.98500000000001</v>
      </c>
      <c r="D122">
        <v>484.29</v>
      </c>
      <c r="E122">
        <v>466.07</v>
      </c>
      <c r="F122">
        <v>413.99</v>
      </c>
      <c r="G122">
        <v>396.315</v>
      </c>
      <c r="H122">
        <v>432.90499999999997</v>
      </c>
      <c r="I122">
        <v>465.47</v>
      </c>
      <c r="J122">
        <v>404.86</v>
      </c>
      <c r="K122">
        <v>457.36500000000001</v>
      </c>
      <c r="M122">
        <v>4597.24</v>
      </c>
      <c r="O122">
        <v>70</v>
      </c>
      <c r="P122">
        <v>565.99</v>
      </c>
      <c r="Q122">
        <v>509.98500000000001</v>
      </c>
      <c r="R122">
        <v>484.29</v>
      </c>
      <c r="S122">
        <v>466.07</v>
      </c>
      <c r="T122">
        <v>413.99</v>
      </c>
      <c r="U122">
        <v>396.315</v>
      </c>
      <c r="V122">
        <v>432.90499999999997</v>
      </c>
      <c r="W122">
        <v>465.47</v>
      </c>
      <c r="X122">
        <v>404.86</v>
      </c>
      <c r="Y122">
        <v>457.36500000000001</v>
      </c>
    </row>
    <row r="123" spans="1:25" x14ac:dyDescent="0.3">
      <c r="A123" s="2">
        <v>80</v>
      </c>
      <c r="B123">
        <v>546.08000000000004</v>
      </c>
      <c r="C123">
        <v>495.815</v>
      </c>
      <c r="D123">
        <v>465.90499999999997</v>
      </c>
      <c r="E123">
        <v>449.56</v>
      </c>
      <c r="F123">
        <v>445.96</v>
      </c>
      <c r="G123">
        <v>445.53</v>
      </c>
      <c r="H123">
        <v>416.26</v>
      </c>
      <c r="I123">
        <v>433.685</v>
      </c>
      <c r="J123">
        <v>454.745</v>
      </c>
      <c r="K123">
        <v>418.63</v>
      </c>
      <c r="M123">
        <v>4572.17</v>
      </c>
      <c r="O123">
        <v>80</v>
      </c>
      <c r="P123">
        <v>546.08000000000004</v>
      </c>
      <c r="Q123">
        <v>495.815</v>
      </c>
      <c r="R123">
        <v>465.90499999999997</v>
      </c>
      <c r="S123">
        <v>449.56</v>
      </c>
      <c r="T123">
        <v>445.96</v>
      </c>
      <c r="U123">
        <v>445.53</v>
      </c>
      <c r="V123">
        <v>416.26</v>
      </c>
      <c r="W123">
        <v>433.685</v>
      </c>
      <c r="X123">
        <v>454.745</v>
      </c>
      <c r="Y123">
        <v>418.63</v>
      </c>
    </row>
    <row r="124" spans="1:25" x14ac:dyDescent="0.3">
      <c r="A124" s="2">
        <v>90</v>
      </c>
      <c r="B124">
        <v>545.72</v>
      </c>
      <c r="C124">
        <v>486.8</v>
      </c>
      <c r="D124">
        <v>444.56</v>
      </c>
      <c r="E124">
        <v>424.85</v>
      </c>
      <c r="F124">
        <v>441.21499999999997</v>
      </c>
      <c r="G124">
        <v>425.01</v>
      </c>
      <c r="H124">
        <v>425.86</v>
      </c>
      <c r="I124">
        <v>419.07499999999999</v>
      </c>
      <c r="J124">
        <v>418.315</v>
      </c>
      <c r="K124">
        <v>422.19</v>
      </c>
      <c r="M124">
        <v>4453.5949999999993</v>
      </c>
      <c r="O124">
        <v>90</v>
      </c>
      <c r="P124">
        <v>545.72</v>
      </c>
      <c r="Q124">
        <v>486.8</v>
      </c>
      <c r="R124">
        <v>444.56</v>
      </c>
      <c r="S124">
        <v>424.85</v>
      </c>
      <c r="T124">
        <v>441.21499999999997</v>
      </c>
      <c r="U124">
        <v>425.01</v>
      </c>
      <c r="V124">
        <v>425.86</v>
      </c>
      <c r="W124">
        <v>419.07499999999999</v>
      </c>
      <c r="X124">
        <v>418.315</v>
      </c>
      <c r="Y124">
        <v>422.19</v>
      </c>
    </row>
    <row r="125" spans="1:25" x14ac:dyDescent="0.3">
      <c r="A125" s="2">
        <v>100</v>
      </c>
      <c r="B125">
        <v>517.34500000000003</v>
      </c>
      <c r="C125">
        <v>469.565</v>
      </c>
      <c r="D125">
        <v>473.065</v>
      </c>
      <c r="E125">
        <v>441.83499999999998</v>
      </c>
      <c r="F125">
        <v>426.84</v>
      </c>
      <c r="G125">
        <v>409.99</v>
      </c>
      <c r="H125">
        <v>409.32</v>
      </c>
      <c r="I125">
        <v>407.77499999999998</v>
      </c>
      <c r="J125">
        <v>421.32499999999999</v>
      </c>
      <c r="K125">
        <v>421.255</v>
      </c>
      <c r="M125">
        <v>4398.3150000000005</v>
      </c>
      <c r="O125">
        <v>100</v>
      </c>
      <c r="P125">
        <v>517.34500000000003</v>
      </c>
      <c r="Q125">
        <v>469.565</v>
      </c>
      <c r="R125">
        <v>473.065</v>
      </c>
      <c r="S125">
        <v>441.83499999999998</v>
      </c>
      <c r="T125">
        <v>426.84</v>
      </c>
      <c r="U125">
        <v>409.99</v>
      </c>
      <c r="V125">
        <v>409.32</v>
      </c>
      <c r="W125">
        <v>407.77499999999998</v>
      </c>
      <c r="X125">
        <v>421.32499999999999</v>
      </c>
      <c r="Y125">
        <v>421.255</v>
      </c>
    </row>
    <row r="126" spans="1:25" x14ac:dyDescent="0.3">
      <c r="A126" s="2" t="s">
        <v>22</v>
      </c>
    </row>
    <row r="127" spans="1:25" x14ac:dyDescent="0.3">
      <c r="A127" s="2" t="s">
        <v>19</v>
      </c>
      <c r="B127">
        <v>6439.4</v>
      </c>
      <c r="C127">
        <v>5875.6299999999992</v>
      </c>
      <c r="D127">
        <v>5661.2750000000005</v>
      </c>
      <c r="E127">
        <v>5542.8200000000006</v>
      </c>
      <c r="F127">
        <v>5426.84</v>
      </c>
      <c r="G127">
        <v>5360.9049999999997</v>
      </c>
      <c r="H127">
        <v>5347.8899999999994</v>
      </c>
      <c r="I127">
        <v>5416.2150000000001</v>
      </c>
      <c r="J127">
        <v>5339.915</v>
      </c>
      <c r="K127">
        <v>5386.8499999999995</v>
      </c>
      <c r="M127">
        <v>55797.74</v>
      </c>
    </row>
    <row r="129" spans="1:25" x14ac:dyDescent="0.3">
      <c r="A129">
        <v>10</v>
      </c>
    </row>
    <row r="130" spans="1:25" x14ac:dyDescent="0.3">
      <c r="A130" s="1" t="s">
        <v>28</v>
      </c>
      <c r="B130" s="1" t="s">
        <v>20</v>
      </c>
      <c r="O130" t="s">
        <v>28</v>
      </c>
      <c r="P130" t="s">
        <v>20</v>
      </c>
    </row>
    <row r="131" spans="1:25" x14ac:dyDescent="0.3">
      <c r="A131" s="1" t="s">
        <v>18</v>
      </c>
      <c r="B131">
        <v>10</v>
      </c>
      <c r="C131">
        <v>20</v>
      </c>
      <c r="D131">
        <v>30</v>
      </c>
      <c r="E131">
        <v>40</v>
      </c>
      <c r="F131">
        <v>50</v>
      </c>
      <c r="G131">
        <v>60</v>
      </c>
      <c r="H131">
        <v>70</v>
      </c>
      <c r="I131">
        <v>80</v>
      </c>
      <c r="J131">
        <v>90</v>
      </c>
      <c r="K131">
        <v>100</v>
      </c>
      <c r="L131" t="s">
        <v>22</v>
      </c>
      <c r="M131" t="s">
        <v>19</v>
      </c>
      <c r="O131" t="s">
        <v>18</v>
      </c>
      <c r="P131">
        <v>10</v>
      </c>
      <c r="Q131">
        <v>20</v>
      </c>
      <c r="R131">
        <v>30</v>
      </c>
      <c r="S131">
        <v>40</v>
      </c>
      <c r="T131">
        <v>50</v>
      </c>
      <c r="U131">
        <v>60</v>
      </c>
      <c r="V131">
        <v>70</v>
      </c>
      <c r="W131">
        <v>80</v>
      </c>
      <c r="X131">
        <v>90</v>
      </c>
      <c r="Y131">
        <v>100</v>
      </c>
    </row>
    <row r="132" spans="1:25" x14ac:dyDescent="0.3">
      <c r="A132" s="2">
        <v>10</v>
      </c>
      <c r="B132">
        <v>1076.135</v>
      </c>
      <c r="C132">
        <v>1070.2149999999999</v>
      </c>
      <c r="D132">
        <v>1053.0999999999999</v>
      </c>
      <c r="E132">
        <v>1052.635</v>
      </c>
      <c r="F132">
        <v>1042.2950000000001</v>
      </c>
      <c r="G132">
        <v>1055.58</v>
      </c>
      <c r="H132">
        <v>1032.9349999999999</v>
      </c>
      <c r="I132">
        <v>1055.54</v>
      </c>
      <c r="J132">
        <v>1031.1849999999999</v>
      </c>
      <c r="K132">
        <v>1045.3050000000001</v>
      </c>
      <c r="M132">
        <v>10514.925000000001</v>
      </c>
      <c r="O132">
        <v>10</v>
      </c>
      <c r="P132">
        <v>1076.135</v>
      </c>
      <c r="Q132">
        <v>1070.2149999999999</v>
      </c>
      <c r="R132">
        <v>1053.0999999999999</v>
      </c>
      <c r="S132">
        <v>1052.635</v>
      </c>
      <c r="T132">
        <v>1042.2950000000001</v>
      </c>
      <c r="U132">
        <v>1055.58</v>
      </c>
      <c r="V132">
        <v>1032.9349999999999</v>
      </c>
      <c r="W132">
        <v>1055.54</v>
      </c>
      <c r="X132">
        <v>1031.1849999999999</v>
      </c>
      <c r="Y132">
        <v>1045.3050000000001</v>
      </c>
    </row>
    <row r="133" spans="1:25" x14ac:dyDescent="0.3">
      <c r="A133" s="2">
        <v>20</v>
      </c>
      <c r="B133">
        <v>733.84</v>
      </c>
      <c r="C133">
        <v>676.24</v>
      </c>
      <c r="D133">
        <v>662.75</v>
      </c>
      <c r="E133">
        <v>656.14</v>
      </c>
      <c r="F133">
        <v>652.97</v>
      </c>
      <c r="G133">
        <v>652.52</v>
      </c>
      <c r="H133">
        <v>652.26</v>
      </c>
      <c r="I133">
        <v>652.78</v>
      </c>
      <c r="J133">
        <v>654.69500000000005</v>
      </c>
      <c r="K133">
        <v>644.27</v>
      </c>
      <c r="M133">
        <v>6638.4649999999983</v>
      </c>
      <c r="O133">
        <v>20</v>
      </c>
      <c r="P133">
        <v>733.84</v>
      </c>
      <c r="Q133">
        <v>676.24</v>
      </c>
      <c r="R133">
        <v>662.75</v>
      </c>
      <c r="S133">
        <v>656.14</v>
      </c>
      <c r="T133">
        <v>652.97</v>
      </c>
      <c r="U133">
        <v>652.52</v>
      </c>
      <c r="V133">
        <v>652.26</v>
      </c>
      <c r="W133">
        <v>652.78</v>
      </c>
      <c r="X133">
        <v>654.69500000000005</v>
      </c>
      <c r="Y133">
        <v>644.27</v>
      </c>
    </row>
    <row r="134" spans="1:25" x14ac:dyDescent="0.3">
      <c r="A134" s="2">
        <v>30</v>
      </c>
      <c r="B134">
        <v>627.45500000000004</v>
      </c>
      <c r="C134">
        <v>573.28499999999997</v>
      </c>
      <c r="D134">
        <v>558.745</v>
      </c>
      <c r="E134">
        <v>552.39499999999998</v>
      </c>
      <c r="F134">
        <v>538.67499999999995</v>
      </c>
      <c r="G134">
        <v>529.54499999999996</v>
      </c>
      <c r="H134">
        <v>556.20500000000004</v>
      </c>
      <c r="I134">
        <v>521.70500000000004</v>
      </c>
      <c r="J134">
        <v>541.15</v>
      </c>
      <c r="K134">
        <v>532.75</v>
      </c>
      <c r="M134">
        <v>5531.91</v>
      </c>
      <c r="O134">
        <v>30</v>
      </c>
      <c r="P134">
        <v>627.45500000000004</v>
      </c>
      <c r="Q134">
        <v>573.28499999999997</v>
      </c>
      <c r="R134">
        <v>558.745</v>
      </c>
      <c r="S134">
        <v>552.39499999999998</v>
      </c>
      <c r="T134">
        <v>538.67499999999995</v>
      </c>
      <c r="U134">
        <v>529.54499999999996</v>
      </c>
      <c r="V134">
        <v>556.20500000000004</v>
      </c>
      <c r="W134">
        <v>521.70500000000004</v>
      </c>
      <c r="X134">
        <v>541.15</v>
      </c>
      <c r="Y134">
        <v>532.75</v>
      </c>
    </row>
    <row r="135" spans="1:25" x14ac:dyDescent="0.3">
      <c r="A135" s="2">
        <v>40</v>
      </c>
      <c r="B135">
        <v>616.79499999999996</v>
      </c>
      <c r="C135">
        <v>543.91999999999996</v>
      </c>
      <c r="D135">
        <v>506.78500000000003</v>
      </c>
      <c r="E135">
        <v>506.61</v>
      </c>
      <c r="F135">
        <v>473.39499999999998</v>
      </c>
      <c r="G135">
        <v>477.41</v>
      </c>
      <c r="H135">
        <v>486.07</v>
      </c>
      <c r="I135">
        <v>506.17</v>
      </c>
      <c r="J135">
        <v>477.18</v>
      </c>
      <c r="K135">
        <v>478.435</v>
      </c>
      <c r="M135">
        <v>5072.7700000000004</v>
      </c>
      <c r="O135">
        <v>40</v>
      </c>
      <c r="P135">
        <v>616.79499999999996</v>
      </c>
      <c r="Q135">
        <v>543.91999999999996</v>
      </c>
      <c r="R135">
        <v>506.78500000000003</v>
      </c>
      <c r="S135">
        <v>506.61</v>
      </c>
      <c r="T135">
        <v>473.39499999999998</v>
      </c>
      <c r="U135">
        <v>477.41</v>
      </c>
      <c r="V135">
        <v>486.07</v>
      </c>
      <c r="W135">
        <v>506.17</v>
      </c>
      <c r="X135">
        <v>477.18</v>
      </c>
      <c r="Y135">
        <v>478.435</v>
      </c>
    </row>
    <row r="136" spans="1:25" x14ac:dyDescent="0.3">
      <c r="A136" s="2">
        <v>50</v>
      </c>
      <c r="B136">
        <v>600.755</v>
      </c>
      <c r="C136">
        <v>525.08500000000004</v>
      </c>
      <c r="D136">
        <v>503.495</v>
      </c>
      <c r="E136">
        <v>496.65</v>
      </c>
      <c r="F136">
        <v>489.27499999999998</v>
      </c>
      <c r="G136">
        <v>483.76</v>
      </c>
      <c r="H136">
        <v>468.78500000000003</v>
      </c>
      <c r="I136">
        <v>465.44</v>
      </c>
      <c r="J136">
        <v>476.15499999999997</v>
      </c>
      <c r="K136">
        <v>462.03</v>
      </c>
      <c r="M136">
        <v>4971.43</v>
      </c>
      <c r="O136">
        <v>50</v>
      </c>
      <c r="P136">
        <v>600.755</v>
      </c>
      <c r="Q136">
        <v>525.08500000000004</v>
      </c>
      <c r="R136">
        <v>503.495</v>
      </c>
      <c r="S136">
        <v>496.65</v>
      </c>
      <c r="T136">
        <v>489.27499999999998</v>
      </c>
      <c r="U136">
        <v>483.76</v>
      </c>
      <c r="V136">
        <v>468.78500000000003</v>
      </c>
      <c r="W136">
        <v>465.44</v>
      </c>
      <c r="X136">
        <v>476.15499999999997</v>
      </c>
      <c r="Y136">
        <v>462.03</v>
      </c>
    </row>
    <row r="137" spans="1:25" x14ac:dyDescent="0.3">
      <c r="A137" s="2">
        <v>60</v>
      </c>
      <c r="B137">
        <v>581.67499999999995</v>
      </c>
      <c r="C137">
        <v>524.40499999999997</v>
      </c>
      <c r="D137">
        <v>479.57</v>
      </c>
      <c r="E137">
        <v>474.17500000000001</v>
      </c>
      <c r="F137">
        <v>464.97</v>
      </c>
      <c r="G137">
        <v>447.28</v>
      </c>
      <c r="H137">
        <v>456.28500000000003</v>
      </c>
      <c r="I137">
        <v>467.67</v>
      </c>
      <c r="J137">
        <v>464.17</v>
      </c>
      <c r="K137">
        <v>463.66500000000002</v>
      </c>
      <c r="M137">
        <v>4823.8649999999998</v>
      </c>
      <c r="O137">
        <v>60</v>
      </c>
      <c r="P137">
        <v>581.67499999999995</v>
      </c>
      <c r="Q137">
        <v>524.40499999999997</v>
      </c>
      <c r="R137">
        <v>479.57</v>
      </c>
      <c r="S137">
        <v>474.17500000000001</v>
      </c>
      <c r="T137">
        <v>464.97</v>
      </c>
      <c r="U137">
        <v>447.28</v>
      </c>
      <c r="V137">
        <v>456.28500000000003</v>
      </c>
      <c r="W137">
        <v>467.67</v>
      </c>
      <c r="X137">
        <v>464.17</v>
      </c>
      <c r="Y137">
        <v>463.66500000000002</v>
      </c>
    </row>
    <row r="138" spans="1:25" x14ac:dyDescent="0.3">
      <c r="A138" s="2">
        <v>70</v>
      </c>
      <c r="B138">
        <v>561.57500000000005</v>
      </c>
      <c r="C138">
        <v>506.51499999999999</v>
      </c>
      <c r="D138">
        <v>473.64</v>
      </c>
      <c r="E138">
        <v>459.125</v>
      </c>
      <c r="F138">
        <v>461.82499999999999</v>
      </c>
      <c r="G138">
        <v>468.065</v>
      </c>
      <c r="H138">
        <v>455.51499999999999</v>
      </c>
      <c r="I138">
        <v>386.79</v>
      </c>
      <c r="J138">
        <v>453.875</v>
      </c>
      <c r="K138">
        <v>431.29500000000002</v>
      </c>
      <c r="M138">
        <v>4658.2199999999993</v>
      </c>
      <c r="O138">
        <v>70</v>
      </c>
      <c r="P138">
        <v>561.57500000000005</v>
      </c>
      <c r="Q138">
        <v>506.51499999999999</v>
      </c>
      <c r="R138">
        <v>473.64</v>
      </c>
      <c r="S138">
        <v>459.125</v>
      </c>
      <c r="T138">
        <v>461.82499999999999</v>
      </c>
      <c r="U138">
        <v>468.065</v>
      </c>
      <c r="V138">
        <v>455.51499999999999</v>
      </c>
      <c r="W138">
        <v>386.79</v>
      </c>
      <c r="X138">
        <v>453.875</v>
      </c>
      <c r="Y138">
        <v>431.29500000000002</v>
      </c>
    </row>
    <row r="139" spans="1:25" x14ac:dyDescent="0.3">
      <c r="A139" s="2">
        <v>80</v>
      </c>
      <c r="B139">
        <v>545.03499999999997</v>
      </c>
      <c r="C139">
        <v>488.22500000000002</v>
      </c>
      <c r="D139">
        <v>456.39499999999998</v>
      </c>
      <c r="E139">
        <v>443.08</v>
      </c>
      <c r="F139">
        <v>425.58499999999998</v>
      </c>
      <c r="G139">
        <v>451.67</v>
      </c>
      <c r="H139">
        <v>390.13499999999999</v>
      </c>
      <c r="I139">
        <v>448.02</v>
      </c>
      <c r="J139">
        <v>434.185</v>
      </c>
      <c r="K139">
        <v>402.68</v>
      </c>
      <c r="M139">
        <v>4485.01</v>
      </c>
      <c r="O139">
        <v>80</v>
      </c>
      <c r="P139">
        <v>545.03499999999997</v>
      </c>
      <c r="Q139">
        <v>488.22500000000002</v>
      </c>
      <c r="R139">
        <v>456.39499999999998</v>
      </c>
      <c r="S139">
        <v>443.08</v>
      </c>
      <c r="T139">
        <v>425.58499999999998</v>
      </c>
      <c r="U139">
        <v>451.67</v>
      </c>
      <c r="V139">
        <v>390.13499999999999</v>
      </c>
      <c r="W139">
        <v>448.02</v>
      </c>
      <c r="X139">
        <v>434.185</v>
      </c>
      <c r="Y139">
        <v>402.68</v>
      </c>
    </row>
    <row r="140" spans="1:25" x14ac:dyDescent="0.3">
      <c r="A140" s="2">
        <v>90</v>
      </c>
      <c r="B140">
        <v>532.49</v>
      </c>
      <c r="C140">
        <v>471.88499999999999</v>
      </c>
      <c r="D140">
        <v>426.21</v>
      </c>
      <c r="E140">
        <v>431.99</v>
      </c>
      <c r="F140">
        <v>422.49</v>
      </c>
      <c r="G140">
        <v>396.99</v>
      </c>
      <c r="H140">
        <v>437.685</v>
      </c>
      <c r="I140">
        <v>426.21499999999997</v>
      </c>
      <c r="J140">
        <v>425.13499999999999</v>
      </c>
      <c r="K140">
        <v>423.21</v>
      </c>
      <c r="M140">
        <v>4394.3</v>
      </c>
      <c r="O140">
        <v>90</v>
      </c>
      <c r="P140">
        <v>532.49</v>
      </c>
      <c r="Q140">
        <v>471.88499999999999</v>
      </c>
      <c r="R140">
        <v>426.21</v>
      </c>
      <c r="S140">
        <v>431.99</v>
      </c>
      <c r="T140">
        <v>422.49</v>
      </c>
      <c r="U140">
        <v>396.99</v>
      </c>
      <c r="V140">
        <v>437.685</v>
      </c>
      <c r="W140">
        <v>426.21499999999997</v>
      </c>
      <c r="X140">
        <v>425.13499999999999</v>
      </c>
      <c r="Y140">
        <v>423.21</v>
      </c>
    </row>
    <row r="141" spans="1:25" x14ac:dyDescent="0.3">
      <c r="A141" s="2">
        <v>100</v>
      </c>
      <c r="B141">
        <v>514.31500000000005</v>
      </c>
      <c r="C141">
        <v>462.42500000000001</v>
      </c>
      <c r="D141">
        <v>421.22</v>
      </c>
      <c r="E141">
        <v>413.495</v>
      </c>
      <c r="F141">
        <v>436.505</v>
      </c>
      <c r="G141">
        <v>406.20499999999998</v>
      </c>
      <c r="H141">
        <v>413.91</v>
      </c>
      <c r="I141">
        <v>412.47</v>
      </c>
      <c r="J141">
        <v>404.58499999999998</v>
      </c>
      <c r="K141">
        <v>451.505</v>
      </c>
      <c r="M141">
        <v>4336.6350000000002</v>
      </c>
      <c r="O141">
        <v>100</v>
      </c>
      <c r="P141">
        <v>514.31500000000005</v>
      </c>
      <c r="Q141">
        <v>462.42500000000001</v>
      </c>
      <c r="R141">
        <v>421.22</v>
      </c>
      <c r="S141">
        <v>413.495</v>
      </c>
      <c r="T141">
        <v>436.505</v>
      </c>
      <c r="U141">
        <v>406.20499999999998</v>
      </c>
      <c r="V141">
        <v>413.91</v>
      </c>
      <c r="W141">
        <v>412.47</v>
      </c>
      <c r="X141">
        <v>404.58499999999998</v>
      </c>
      <c r="Y141">
        <v>451.505</v>
      </c>
    </row>
    <row r="142" spans="1:25" x14ac:dyDescent="0.3">
      <c r="A142" s="2" t="s">
        <v>22</v>
      </c>
    </row>
    <row r="143" spans="1:25" x14ac:dyDescent="0.3">
      <c r="A143" s="2" t="s">
        <v>19</v>
      </c>
      <c r="B143">
        <v>6390.07</v>
      </c>
      <c r="C143">
        <v>5842.2000000000007</v>
      </c>
      <c r="D143">
        <v>5541.91</v>
      </c>
      <c r="E143">
        <v>5486.2950000000001</v>
      </c>
      <c r="F143">
        <v>5407.9849999999997</v>
      </c>
      <c r="G143">
        <v>5369.0249999999987</v>
      </c>
      <c r="H143">
        <v>5349.7850000000008</v>
      </c>
      <c r="I143">
        <v>5342.8</v>
      </c>
      <c r="J143">
        <v>5362.3150000000005</v>
      </c>
      <c r="K143">
        <v>5335.1450000000004</v>
      </c>
      <c r="M143">
        <v>55427.530000000006</v>
      </c>
    </row>
    <row r="145" spans="1:25" x14ac:dyDescent="0.3">
      <c r="A145">
        <v>11</v>
      </c>
    </row>
    <row r="146" spans="1:25" x14ac:dyDescent="0.3">
      <c r="A146" s="1" t="s">
        <v>28</v>
      </c>
      <c r="B146" s="1" t="s">
        <v>20</v>
      </c>
      <c r="O146" t="s">
        <v>28</v>
      </c>
      <c r="P146" t="s">
        <v>20</v>
      </c>
    </row>
    <row r="147" spans="1:25" x14ac:dyDescent="0.3">
      <c r="A147" s="1" t="s">
        <v>18</v>
      </c>
      <c r="B147">
        <v>10</v>
      </c>
      <c r="C147">
        <v>20</v>
      </c>
      <c r="D147">
        <v>30</v>
      </c>
      <c r="E147">
        <v>40</v>
      </c>
      <c r="F147">
        <v>50</v>
      </c>
      <c r="G147">
        <v>60</v>
      </c>
      <c r="H147">
        <v>70</v>
      </c>
      <c r="I147">
        <v>80</v>
      </c>
      <c r="J147">
        <v>90</v>
      </c>
      <c r="K147">
        <v>100</v>
      </c>
      <c r="L147" t="s">
        <v>22</v>
      </c>
      <c r="M147" t="s">
        <v>19</v>
      </c>
      <c r="O147" t="s">
        <v>18</v>
      </c>
      <c r="P147">
        <v>10</v>
      </c>
      <c r="Q147">
        <v>20</v>
      </c>
      <c r="R147">
        <v>30</v>
      </c>
      <c r="S147">
        <v>40</v>
      </c>
      <c r="T147">
        <v>50</v>
      </c>
      <c r="U147">
        <v>60</v>
      </c>
      <c r="V147">
        <v>70</v>
      </c>
      <c r="W147">
        <v>80</v>
      </c>
      <c r="X147">
        <v>90</v>
      </c>
      <c r="Y147">
        <v>100</v>
      </c>
    </row>
    <row r="148" spans="1:25" x14ac:dyDescent="0.3">
      <c r="A148" s="2">
        <v>10</v>
      </c>
      <c r="B148">
        <v>1083.615</v>
      </c>
      <c r="C148">
        <v>1055.7650000000001</v>
      </c>
      <c r="D148">
        <v>1048.0550000000001</v>
      </c>
      <c r="E148">
        <v>1035.96</v>
      </c>
      <c r="F148">
        <v>1024.0250000000001</v>
      </c>
      <c r="G148">
        <v>1037.6600000000001</v>
      </c>
      <c r="H148">
        <v>1034.635</v>
      </c>
      <c r="I148">
        <v>1049.135</v>
      </c>
      <c r="J148">
        <v>1025.72</v>
      </c>
      <c r="K148">
        <v>1038.96</v>
      </c>
      <c r="M148">
        <v>10433.529999999999</v>
      </c>
      <c r="O148">
        <v>10</v>
      </c>
      <c r="P148">
        <v>1083.615</v>
      </c>
      <c r="Q148">
        <v>1055.7650000000001</v>
      </c>
      <c r="R148">
        <v>1048.0550000000001</v>
      </c>
      <c r="S148">
        <v>1035.96</v>
      </c>
      <c r="T148">
        <v>1024.0250000000001</v>
      </c>
      <c r="U148">
        <v>1037.6600000000001</v>
      </c>
      <c r="V148">
        <v>1034.635</v>
      </c>
      <c r="W148">
        <v>1049.135</v>
      </c>
      <c r="X148">
        <v>1025.72</v>
      </c>
      <c r="Y148">
        <v>1038.96</v>
      </c>
    </row>
    <row r="149" spans="1:25" x14ac:dyDescent="0.3">
      <c r="A149" s="2">
        <v>20</v>
      </c>
      <c r="B149">
        <v>717.34</v>
      </c>
      <c r="C149">
        <v>678.38</v>
      </c>
      <c r="D149">
        <v>657.09500000000003</v>
      </c>
      <c r="E149">
        <v>663.05</v>
      </c>
      <c r="F149">
        <v>651.73</v>
      </c>
      <c r="G149">
        <v>640.97500000000002</v>
      </c>
      <c r="H149">
        <v>651.07000000000005</v>
      </c>
      <c r="I149">
        <v>653.60500000000002</v>
      </c>
      <c r="J149">
        <v>652.93499999999995</v>
      </c>
      <c r="K149">
        <v>640.75</v>
      </c>
      <c r="M149">
        <v>6606.9299999999985</v>
      </c>
      <c r="O149">
        <v>20</v>
      </c>
      <c r="P149">
        <v>717.34</v>
      </c>
      <c r="Q149">
        <v>678.38</v>
      </c>
      <c r="R149">
        <v>657.09500000000003</v>
      </c>
      <c r="S149">
        <v>663.05</v>
      </c>
      <c r="T149">
        <v>651.73</v>
      </c>
      <c r="U149">
        <v>640.97500000000002</v>
      </c>
      <c r="V149">
        <v>651.07000000000005</v>
      </c>
      <c r="W149">
        <v>653.60500000000002</v>
      </c>
      <c r="X149">
        <v>652.93499999999995</v>
      </c>
      <c r="Y149">
        <v>640.75</v>
      </c>
    </row>
    <row r="150" spans="1:25" x14ac:dyDescent="0.3">
      <c r="A150" s="2">
        <v>30</v>
      </c>
      <c r="B150">
        <v>632.78499999999997</v>
      </c>
      <c r="C150">
        <v>572.13499999999999</v>
      </c>
      <c r="D150">
        <v>557.57500000000005</v>
      </c>
      <c r="E150">
        <v>545.97</v>
      </c>
      <c r="F150">
        <v>552.65</v>
      </c>
      <c r="G150">
        <v>523.76499999999999</v>
      </c>
      <c r="H150">
        <v>528.19000000000005</v>
      </c>
      <c r="I150">
        <v>523.69500000000005</v>
      </c>
      <c r="J150">
        <v>545.35500000000002</v>
      </c>
      <c r="K150">
        <v>519.09</v>
      </c>
      <c r="M150">
        <v>5501.2100000000009</v>
      </c>
      <c r="O150">
        <v>30</v>
      </c>
      <c r="P150">
        <v>632.78499999999997</v>
      </c>
      <c r="Q150">
        <v>572.13499999999999</v>
      </c>
      <c r="R150">
        <v>557.57500000000005</v>
      </c>
      <c r="S150">
        <v>545.97</v>
      </c>
      <c r="T150">
        <v>552.65</v>
      </c>
      <c r="U150">
        <v>523.76499999999999</v>
      </c>
      <c r="V150">
        <v>528.19000000000005</v>
      </c>
      <c r="W150">
        <v>523.69500000000005</v>
      </c>
      <c r="X150">
        <v>545.35500000000002</v>
      </c>
      <c r="Y150">
        <v>519.09</v>
      </c>
    </row>
    <row r="151" spans="1:25" x14ac:dyDescent="0.3">
      <c r="A151" s="2">
        <v>40</v>
      </c>
      <c r="B151">
        <v>604.54999999999995</v>
      </c>
      <c r="C151">
        <v>537.97500000000002</v>
      </c>
      <c r="D151">
        <v>520.29499999999996</v>
      </c>
      <c r="E151">
        <v>489.33499999999998</v>
      </c>
      <c r="F151">
        <v>484.07499999999999</v>
      </c>
      <c r="G151">
        <v>479.21</v>
      </c>
      <c r="H151">
        <v>476.5</v>
      </c>
      <c r="I151">
        <v>503.27</v>
      </c>
      <c r="J151">
        <v>494.54</v>
      </c>
      <c r="K151">
        <v>485.065</v>
      </c>
      <c r="M151">
        <v>5074.8149999999996</v>
      </c>
      <c r="O151">
        <v>40</v>
      </c>
      <c r="P151">
        <v>604.54999999999995</v>
      </c>
      <c r="Q151">
        <v>537.97500000000002</v>
      </c>
      <c r="R151">
        <v>520.29499999999996</v>
      </c>
      <c r="S151">
        <v>489.33499999999998</v>
      </c>
      <c r="T151">
        <v>484.07499999999999</v>
      </c>
      <c r="U151">
        <v>479.21</v>
      </c>
      <c r="V151">
        <v>476.5</v>
      </c>
      <c r="W151">
        <v>503.27</v>
      </c>
      <c r="X151">
        <v>494.54</v>
      </c>
      <c r="Y151">
        <v>485.065</v>
      </c>
    </row>
    <row r="152" spans="1:25" x14ac:dyDescent="0.3">
      <c r="A152" s="2">
        <v>50</v>
      </c>
      <c r="B152">
        <v>583.41</v>
      </c>
      <c r="C152">
        <v>514.63499999999999</v>
      </c>
      <c r="D152">
        <v>499.18</v>
      </c>
      <c r="E152">
        <v>503.89499999999998</v>
      </c>
      <c r="F152">
        <v>486.42</v>
      </c>
      <c r="G152">
        <v>484.8</v>
      </c>
      <c r="H152">
        <v>478.82499999999999</v>
      </c>
      <c r="I152">
        <v>468.01499999999999</v>
      </c>
      <c r="J152">
        <v>481.065</v>
      </c>
      <c r="K152">
        <v>463.68</v>
      </c>
      <c r="M152">
        <v>4963.9250000000002</v>
      </c>
      <c r="O152">
        <v>50</v>
      </c>
      <c r="P152">
        <v>583.41</v>
      </c>
      <c r="Q152">
        <v>514.63499999999999</v>
      </c>
      <c r="R152">
        <v>499.18</v>
      </c>
      <c r="S152">
        <v>503.89499999999998</v>
      </c>
      <c r="T152">
        <v>486.42</v>
      </c>
      <c r="U152">
        <v>484.8</v>
      </c>
      <c r="V152">
        <v>478.82499999999999</v>
      </c>
      <c r="W152">
        <v>468.01499999999999</v>
      </c>
      <c r="X152">
        <v>481.065</v>
      </c>
      <c r="Y152">
        <v>463.68</v>
      </c>
    </row>
    <row r="153" spans="1:25" x14ac:dyDescent="0.3">
      <c r="A153" s="2">
        <v>60</v>
      </c>
      <c r="B153">
        <v>580.05999999999995</v>
      </c>
      <c r="C153">
        <v>523.18499999999995</v>
      </c>
      <c r="D153">
        <v>482.66500000000002</v>
      </c>
      <c r="E153">
        <v>472.92</v>
      </c>
      <c r="F153">
        <v>470.78</v>
      </c>
      <c r="G153">
        <v>444.63</v>
      </c>
      <c r="H153">
        <v>459.73500000000001</v>
      </c>
      <c r="I153">
        <v>465.94499999999999</v>
      </c>
      <c r="J153">
        <v>468.6</v>
      </c>
      <c r="K153">
        <v>467.91</v>
      </c>
      <c r="M153">
        <v>4836.43</v>
      </c>
      <c r="O153">
        <v>60</v>
      </c>
      <c r="P153">
        <v>580.05999999999995</v>
      </c>
      <c r="Q153">
        <v>523.18499999999995</v>
      </c>
      <c r="R153">
        <v>482.66500000000002</v>
      </c>
      <c r="S153">
        <v>472.92</v>
      </c>
      <c r="T153">
        <v>470.78</v>
      </c>
      <c r="U153">
        <v>444.63</v>
      </c>
      <c r="V153">
        <v>459.73500000000001</v>
      </c>
      <c r="W153">
        <v>465.94499999999999</v>
      </c>
      <c r="X153">
        <v>468.6</v>
      </c>
      <c r="Y153">
        <v>467.91</v>
      </c>
    </row>
    <row r="154" spans="1:25" x14ac:dyDescent="0.3">
      <c r="A154" s="2">
        <v>70</v>
      </c>
      <c r="B154">
        <v>561.62</v>
      </c>
      <c r="C154">
        <v>495.73</v>
      </c>
      <c r="D154">
        <v>475.76499999999999</v>
      </c>
      <c r="E154">
        <v>456.41</v>
      </c>
      <c r="F154">
        <v>459.85500000000002</v>
      </c>
      <c r="G154">
        <v>463.86500000000001</v>
      </c>
      <c r="H154">
        <v>432.79</v>
      </c>
      <c r="I154">
        <v>394.14</v>
      </c>
      <c r="J154">
        <v>462.48500000000001</v>
      </c>
      <c r="K154">
        <v>393.54500000000002</v>
      </c>
      <c r="M154">
        <v>4596.2049999999999</v>
      </c>
      <c r="O154">
        <v>70</v>
      </c>
      <c r="P154">
        <v>561.62</v>
      </c>
      <c r="Q154">
        <v>495.73</v>
      </c>
      <c r="R154">
        <v>475.76499999999999</v>
      </c>
      <c r="S154">
        <v>456.41</v>
      </c>
      <c r="T154">
        <v>459.85500000000002</v>
      </c>
      <c r="U154">
        <v>463.86500000000001</v>
      </c>
      <c r="V154">
        <v>432.79</v>
      </c>
      <c r="W154">
        <v>394.14</v>
      </c>
      <c r="X154">
        <v>462.48500000000001</v>
      </c>
      <c r="Y154">
        <v>393.54500000000002</v>
      </c>
    </row>
    <row r="155" spans="1:25" x14ac:dyDescent="0.3">
      <c r="A155" s="2">
        <v>80</v>
      </c>
      <c r="B155">
        <v>556.57000000000005</v>
      </c>
      <c r="C155">
        <v>489.76</v>
      </c>
      <c r="D155">
        <v>448.23500000000001</v>
      </c>
      <c r="E155">
        <v>445.61500000000001</v>
      </c>
      <c r="F155">
        <v>419.98500000000001</v>
      </c>
      <c r="G155">
        <v>439.29</v>
      </c>
      <c r="H155">
        <v>393.02</v>
      </c>
      <c r="I155">
        <v>438.47</v>
      </c>
      <c r="J155">
        <v>418</v>
      </c>
      <c r="K155">
        <v>411.11</v>
      </c>
      <c r="M155">
        <v>4460.0549999999994</v>
      </c>
      <c r="O155">
        <v>80</v>
      </c>
      <c r="P155">
        <v>556.57000000000005</v>
      </c>
      <c r="Q155">
        <v>489.76</v>
      </c>
      <c r="R155">
        <v>448.23500000000001</v>
      </c>
      <c r="S155">
        <v>445.61500000000001</v>
      </c>
      <c r="T155">
        <v>419.98500000000001</v>
      </c>
      <c r="U155">
        <v>439.29</v>
      </c>
      <c r="V155">
        <v>393.02</v>
      </c>
      <c r="W155">
        <v>438.47</v>
      </c>
      <c r="X155">
        <v>418</v>
      </c>
      <c r="Y155">
        <v>411.11</v>
      </c>
    </row>
    <row r="156" spans="1:25" x14ac:dyDescent="0.3">
      <c r="A156" s="2">
        <v>90</v>
      </c>
      <c r="B156">
        <v>536.51499999999999</v>
      </c>
      <c r="C156">
        <v>481.28500000000003</v>
      </c>
      <c r="D156">
        <v>429.31</v>
      </c>
      <c r="E156">
        <v>418.45499999999998</v>
      </c>
      <c r="F156">
        <v>438.78500000000003</v>
      </c>
      <c r="G156">
        <v>401.245</v>
      </c>
      <c r="H156">
        <v>423.495</v>
      </c>
      <c r="I156">
        <v>431.02</v>
      </c>
      <c r="J156">
        <v>434.37</v>
      </c>
      <c r="K156">
        <v>435.82499999999999</v>
      </c>
      <c r="M156">
        <v>4430.3049999999994</v>
      </c>
      <c r="O156">
        <v>90</v>
      </c>
      <c r="P156">
        <v>536.51499999999999</v>
      </c>
      <c r="Q156">
        <v>481.28500000000003</v>
      </c>
      <c r="R156">
        <v>429.31</v>
      </c>
      <c r="S156">
        <v>418.45499999999998</v>
      </c>
      <c r="T156">
        <v>438.78500000000003</v>
      </c>
      <c r="U156">
        <v>401.245</v>
      </c>
      <c r="V156">
        <v>423.495</v>
      </c>
      <c r="W156">
        <v>431.02</v>
      </c>
      <c r="X156">
        <v>434.37</v>
      </c>
      <c r="Y156">
        <v>435.82499999999999</v>
      </c>
    </row>
    <row r="157" spans="1:25" x14ac:dyDescent="0.3">
      <c r="A157" s="2">
        <v>100</v>
      </c>
      <c r="B157">
        <v>517.98</v>
      </c>
      <c r="C157">
        <v>467.7</v>
      </c>
      <c r="D157">
        <v>423.67</v>
      </c>
      <c r="E157">
        <v>417.22</v>
      </c>
      <c r="F157">
        <v>435.49</v>
      </c>
      <c r="G157">
        <v>406.58499999999998</v>
      </c>
      <c r="H157">
        <v>413.51499999999999</v>
      </c>
      <c r="I157">
        <v>412.18</v>
      </c>
      <c r="J157">
        <v>402.005</v>
      </c>
      <c r="K157">
        <v>409.98500000000001</v>
      </c>
      <c r="M157">
        <v>4306.33</v>
      </c>
      <c r="O157">
        <v>100</v>
      </c>
      <c r="P157">
        <v>517.98</v>
      </c>
      <c r="Q157">
        <v>467.7</v>
      </c>
      <c r="R157">
        <v>423.67</v>
      </c>
      <c r="S157">
        <v>417.22</v>
      </c>
      <c r="T157">
        <v>435.49</v>
      </c>
      <c r="U157">
        <v>406.58499999999998</v>
      </c>
      <c r="V157">
        <v>413.51499999999999</v>
      </c>
      <c r="W157">
        <v>412.18</v>
      </c>
      <c r="X157">
        <v>402.005</v>
      </c>
      <c r="Y157">
        <v>409.98500000000001</v>
      </c>
    </row>
    <row r="158" spans="1:25" x14ac:dyDescent="0.3">
      <c r="A158" s="2" t="s">
        <v>22</v>
      </c>
    </row>
    <row r="159" spans="1:25" x14ac:dyDescent="0.3">
      <c r="A159" s="2" t="s">
        <v>19</v>
      </c>
      <c r="B159">
        <v>6374.4449999999997</v>
      </c>
      <c r="C159">
        <v>5816.5499999999993</v>
      </c>
      <c r="D159">
        <v>5541.8450000000003</v>
      </c>
      <c r="E159">
        <v>5448.83</v>
      </c>
      <c r="F159">
        <v>5423.7949999999992</v>
      </c>
      <c r="G159">
        <v>5322.0250000000005</v>
      </c>
      <c r="H159">
        <v>5291.7749999999996</v>
      </c>
      <c r="I159">
        <v>5339.4750000000004</v>
      </c>
      <c r="J159">
        <v>5385.0749999999998</v>
      </c>
      <c r="K159">
        <v>5265.9199999999992</v>
      </c>
      <c r="M159">
        <v>55209.735000000001</v>
      </c>
    </row>
    <row r="170" spans="1:13" x14ac:dyDescent="0.3">
      <c r="A170" s="1" t="s">
        <v>35</v>
      </c>
      <c r="B170" s="1" t="s">
        <v>20</v>
      </c>
    </row>
    <row r="171" spans="1:13" x14ac:dyDescent="0.3">
      <c r="A171" s="1" t="s">
        <v>18</v>
      </c>
      <c r="B171">
        <v>10</v>
      </c>
      <c r="C171">
        <v>20</v>
      </c>
      <c r="D171">
        <v>30</v>
      </c>
      <c r="E171">
        <v>40</v>
      </c>
      <c r="F171">
        <v>50</v>
      </c>
      <c r="G171">
        <v>60</v>
      </c>
      <c r="H171">
        <v>70</v>
      </c>
      <c r="I171">
        <v>80</v>
      </c>
      <c r="J171">
        <v>90</v>
      </c>
      <c r="K171">
        <v>100</v>
      </c>
      <c r="L171" t="s">
        <v>22</v>
      </c>
      <c r="M171" t="s">
        <v>19</v>
      </c>
    </row>
    <row r="172" spans="1:13" x14ac:dyDescent="0.3">
      <c r="A172" s="2">
        <v>10</v>
      </c>
      <c r="B172">
        <v>9.3000000000000007</v>
      </c>
      <c r="C172">
        <v>9</v>
      </c>
      <c r="D172">
        <v>8.9</v>
      </c>
      <c r="E172">
        <v>8.8000000000000007</v>
      </c>
      <c r="F172">
        <v>8.6999999999999993</v>
      </c>
      <c r="G172">
        <v>8.8000000000000007</v>
      </c>
      <c r="H172">
        <v>8.8000000000000007</v>
      </c>
      <c r="I172">
        <v>8.9</v>
      </c>
      <c r="J172">
        <v>8.6999999999999993</v>
      </c>
      <c r="K172">
        <v>8.8000000000000007</v>
      </c>
      <c r="M172">
        <v>88.7</v>
      </c>
    </row>
    <row r="173" spans="1:13" x14ac:dyDescent="0.3">
      <c r="A173" s="2">
        <v>20</v>
      </c>
      <c r="B173">
        <v>5.3</v>
      </c>
      <c r="C173">
        <v>4.9000000000000004</v>
      </c>
      <c r="D173">
        <v>4.7</v>
      </c>
      <c r="E173">
        <v>4.7</v>
      </c>
      <c r="F173">
        <v>4.5999999999999996</v>
      </c>
      <c r="G173">
        <v>4.5</v>
      </c>
      <c r="H173">
        <v>4.5999999999999996</v>
      </c>
      <c r="I173">
        <v>4.5999999999999996</v>
      </c>
      <c r="J173">
        <v>4.5999999999999996</v>
      </c>
      <c r="K173">
        <v>4.5</v>
      </c>
      <c r="M173">
        <v>47</v>
      </c>
    </row>
    <row r="174" spans="1:13" x14ac:dyDescent="0.3">
      <c r="A174" s="2">
        <v>30</v>
      </c>
      <c r="B174">
        <v>4.3</v>
      </c>
      <c r="C174">
        <v>3.6</v>
      </c>
      <c r="D174">
        <v>3.4</v>
      </c>
      <c r="E174">
        <v>3.3</v>
      </c>
      <c r="F174">
        <v>3.3</v>
      </c>
      <c r="G174">
        <v>3.1</v>
      </c>
      <c r="H174">
        <v>3.1</v>
      </c>
      <c r="I174">
        <v>3.1</v>
      </c>
      <c r="J174">
        <v>3.2</v>
      </c>
      <c r="K174">
        <v>3.1</v>
      </c>
      <c r="M174">
        <v>33.500000000000007</v>
      </c>
    </row>
    <row r="175" spans="1:13" x14ac:dyDescent="0.3">
      <c r="A175" s="2">
        <v>40</v>
      </c>
      <c r="B175">
        <v>3.9</v>
      </c>
      <c r="C175">
        <v>3.1</v>
      </c>
      <c r="D175">
        <v>2.8</v>
      </c>
      <c r="E175">
        <v>2.6</v>
      </c>
      <c r="F175">
        <v>2.6</v>
      </c>
      <c r="G175">
        <v>2.5</v>
      </c>
      <c r="H175">
        <v>2.4</v>
      </c>
      <c r="I175">
        <v>2.5</v>
      </c>
      <c r="J175">
        <v>2.4</v>
      </c>
      <c r="K175">
        <v>2.5</v>
      </c>
      <c r="M175">
        <v>27.299999999999997</v>
      </c>
    </row>
    <row r="176" spans="1:13" x14ac:dyDescent="0.3">
      <c r="A176" s="2">
        <v>50</v>
      </c>
      <c r="B176">
        <v>3.6</v>
      </c>
      <c r="C176">
        <v>2.7</v>
      </c>
      <c r="D176">
        <v>2.4</v>
      </c>
      <c r="E176">
        <v>2.4</v>
      </c>
      <c r="F176">
        <v>2.2000000000000002</v>
      </c>
      <c r="G176">
        <v>2.2000000000000002</v>
      </c>
      <c r="H176">
        <v>2.1</v>
      </c>
      <c r="I176">
        <v>2</v>
      </c>
      <c r="J176">
        <v>2.1</v>
      </c>
      <c r="K176">
        <v>2</v>
      </c>
      <c r="M176">
        <v>23.700000000000003</v>
      </c>
    </row>
    <row r="177" spans="1:13" x14ac:dyDescent="0.3">
      <c r="A177" s="2">
        <v>60</v>
      </c>
      <c r="B177">
        <v>3.5</v>
      </c>
      <c r="C177">
        <v>2.6</v>
      </c>
      <c r="D177">
        <v>2.1</v>
      </c>
      <c r="E177">
        <v>2.1</v>
      </c>
      <c r="F177">
        <v>1.9</v>
      </c>
      <c r="G177">
        <v>1.9</v>
      </c>
      <c r="H177">
        <v>1.8</v>
      </c>
      <c r="I177">
        <v>1.7</v>
      </c>
      <c r="J177">
        <v>1.7</v>
      </c>
      <c r="K177">
        <v>1.7</v>
      </c>
      <c r="M177">
        <v>21</v>
      </c>
    </row>
    <row r="178" spans="1:13" x14ac:dyDescent="0.3">
      <c r="A178" s="2">
        <v>70</v>
      </c>
      <c r="B178">
        <v>3.4</v>
      </c>
      <c r="C178">
        <v>2.4</v>
      </c>
      <c r="D178">
        <v>2.1</v>
      </c>
      <c r="E178">
        <v>1.9</v>
      </c>
      <c r="F178">
        <v>1.7</v>
      </c>
      <c r="G178">
        <v>1.7</v>
      </c>
      <c r="H178">
        <v>1.5</v>
      </c>
      <c r="I178">
        <v>1.6</v>
      </c>
      <c r="J178">
        <v>1.6</v>
      </c>
      <c r="K178">
        <v>1.5</v>
      </c>
      <c r="M178">
        <v>19.400000000000002</v>
      </c>
    </row>
    <row r="179" spans="1:13" x14ac:dyDescent="0.3">
      <c r="A179" s="2">
        <v>80</v>
      </c>
      <c r="B179">
        <v>3.4</v>
      </c>
      <c r="C179">
        <v>2.4</v>
      </c>
      <c r="D179">
        <v>1.9</v>
      </c>
      <c r="E179">
        <v>1.8</v>
      </c>
      <c r="F179">
        <v>1.6</v>
      </c>
      <c r="G179">
        <v>1.5</v>
      </c>
      <c r="H179">
        <v>1.4</v>
      </c>
      <c r="I179">
        <v>1.4</v>
      </c>
      <c r="J179">
        <v>1.4</v>
      </c>
      <c r="K179">
        <v>1.4</v>
      </c>
      <c r="M179">
        <v>18.2</v>
      </c>
    </row>
    <row r="180" spans="1:13" x14ac:dyDescent="0.3">
      <c r="A180" s="2">
        <v>90</v>
      </c>
      <c r="B180">
        <v>3.2</v>
      </c>
      <c r="C180">
        <v>2.4</v>
      </c>
      <c r="D180">
        <v>1.8</v>
      </c>
      <c r="E180">
        <v>1.6</v>
      </c>
      <c r="F180">
        <v>1.6</v>
      </c>
      <c r="G180">
        <v>1.4</v>
      </c>
      <c r="H180">
        <v>1.3</v>
      </c>
      <c r="I180">
        <v>1.3</v>
      </c>
      <c r="J180">
        <v>1.3</v>
      </c>
      <c r="K180">
        <v>1.3</v>
      </c>
      <c r="M180">
        <v>17.200000000000003</v>
      </c>
    </row>
    <row r="181" spans="1:13" x14ac:dyDescent="0.3">
      <c r="A181" s="2">
        <v>100</v>
      </c>
      <c r="B181">
        <v>3.1</v>
      </c>
      <c r="C181">
        <v>2.2999999999999998</v>
      </c>
      <c r="D181">
        <v>1.8</v>
      </c>
      <c r="E181">
        <v>1.6</v>
      </c>
      <c r="F181">
        <v>1.4</v>
      </c>
      <c r="G181">
        <v>1.3</v>
      </c>
      <c r="H181">
        <v>1.2</v>
      </c>
      <c r="I181">
        <v>1.2</v>
      </c>
      <c r="J181">
        <v>1.2</v>
      </c>
      <c r="K181">
        <v>1.3</v>
      </c>
      <c r="M181">
        <v>16.399999999999999</v>
      </c>
    </row>
    <row r="182" spans="1:13" x14ac:dyDescent="0.3">
      <c r="A182" s="2" t="s">
        <v>22</v>
      </c>
    </row>
    <row r="183" spans="1:13" x14ac:dyDescent="0.3">
      <c r="A183" s="2" t="s">
        <v>19</v>
      </c>
      <c r="B183">
        <v>43.000000000000007</v>
      </c>
      <c r="C183">
        <v>35.4</v>
      </c>
      <c r="D183">
        <v>31.900000000000002</v>
      </c>
      <c r="E183">
        <v>30.800000000000004</v>
      </c>
      <c r="F183">
        <v>29.599999999999998</v>
      </c>
      <c r="G183">
        <v>28.9</v>
      </c>
      <c r="H183">
        <v>28.2</v>
      </c>
      <c r="I183">
        <v>28.3</v>
      </c>
      <c r="J183">
        <v>28.2</v>
      </c>
      <c r="K183">
        <v>28.1</v>
      </c>
      <c r="M183">
        <v>312.39999999999992</v>
      </c>
    </row>
  </sheetData>
  <mergeCells count="5">
    <mergeCell ref="AN76:AW76"/>
    <mergeCell ref="AB34:AK34"/>
    <mergeCell ref="AB63:AK63"/>
    <mergeCell ref="AN34:AW34"/>
    <mergeCell ref="AN62:AW62"/>
  </mergeCells>
  <conditionalFormatting pivot="1" sqref="B4:K13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20:K29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36:K45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52:K61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:AK12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0:AK29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N20:AW29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68:K77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84:K93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100:K109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116:K125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132:K141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148:K157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6:AK45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N36:AW45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A36:BJ45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80:AK89">
    <cfRule type="colorScale" priority="16">
      <colorScale>
        <cfvo type="num" val="-0.3"/>
        <cfvo type="num" val="0"/>
        <cfvo type="num" val="0.3"/>
        <color rgb="FFF9736D"/>
        <color theme="0"/>
        <color rgb="FFF9736D"/>
      </colorScale>
    </cfRule>
  </conditionalFormatting>
  <conditionalFormatting sqref="AB51:AK60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66:AK75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N66:AW75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N51:AW60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N80:AW89">
    <cfRule type="colorScale" priority="9">
      <colorScale>
        <cfvo type="num" val="-0.3"/>
        <cfvo type="num" val="0"/>
        <cfvo type="num" val="0.3"/>
        <color rgb="FFF9736D"/>
        <color theme="0"/>
        <color rgb="FFF9736D"/>
      </colorScale>
    </cfRule>
  </conditionalFormatting>
  <conditionalFormatting sqref="BA51:BJ60">
    <cfRule type="colorScale" priority="8">
      <colorScale>
        <cfvo type="min"/>
        <cfvo type="max"/>
        <color rgb="FFFCFCFF"/>
        <color rgb="FFF8696B"/>
      </colorScale>
    </cfRule>
  </conditionalFormatting>
  <conditionalFormatting sqref="BX91:CG100">
    <cfRule type="colorScale" priority="4">
      <colorScale>
        <cfvo type="min"/>
        <cfvo type="max"/>
        <color rgb="FFFCFCFF"/>
        <color rgb="FF63BE7B"/>
      </colorScale>
    </cfRule>
  </conditionalFormatting>
  <conditionalFormatting sqref="BA67:BJ76">
    <cfRule type="colorScale" priority="3">
      <colorScale>
        <cfvo type="min"/>
        <cfvo type="max"/>
        <color rgb="FFFCFCFF"/>
        <color rgb="FFF8696B"/>
      </colorScale>
    </cfRule>
  </conditionalFormatting>
  <conditionalFormatting sqref="AZ20:BI29">
    <cfRule type="colorScale" priority="1">
      <colorScale>
        <cfvo type="min"/>
        <cfvo type="num" val="0"/>
        <cfvo type="max"/>
        <color rgb="FFF8696B"/>
        <color rgb="FFFFEB84"/>
        <color rgb="FF63BE7B"/>
      </colorScale>
    </cfRule>
  </conditionalFormatting>
  <conditionalFormatting sqref="AB61:AK61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AD597-466C-4064-A10E-248F8C6269FA}">
  <dimension ref="A1:AW159"/>
  <sheetViews>
    <sheetView topLeftCell="P1" zoomScale="55" zoomScaleNormal="55" workbookViewId="0">
      <selection activeCell="AB3" sqref="AB3:AK12"/>
    </sheetView>
  </sheetViews>
  <sheetFormatPr defaultRowHeight="14.4" x14ac:dyDescent="0.3"/>
  <cols>
    <col min="1" max="1" width="18.44140625" bestFit="1" customWidth="1"/>
    <col min="2" max="2" width="22.33203125" bestFit="1" customWidth="1"/>
    <col min="3" max="9" width="10.21875" bestFit="1" customWidth="1"/>
    <col min="10" max="10" width="8.77734375" bestFit="1" customWidth="1"/>
    <col min="11" max="11" width="7.33203125" bestFit="1" customWidth="1"/>
    <col min="12" max="12" width="9.44140625" bestFit="1" customWidth="1"/>
    <col min="13" max="13" width="14.88671875" bestFit="1" customWidth="1"/>
    <col min="14" max="14" width="20.77734375" bestFit="1" customWidth="1"/>
    <col min="15" max="15" width="11.33203125" bestFit="1" customWidth="1"/>
    <col min="16" max="16" width="20.77734375" bestFit="1" customWidth="1"/>
    <col min="17" max="17" width="11.33203125" bestFit="1" customWidth="1"/>
    <col min="18" max="18" width="20.77734375" bestFit="1" customWidth="1"/>
    <col min="19" max="19" width="11.33203125" bestFit="1" customWidth="1"/>
    <col min="20" max="20" width="20.77734375" bestFit="1" customWidth="1"/>
    <col min="21" max="21" width="11.33203125" bestFit="1" customWidth="1"/>
    <col min="22" max="22" width="20.77734375" bestFit="1" customWidth="1"/>
    <col min="23" max="23" width="11.33203125" bestFit="1" customWidth="1"/>
    <col min="24" max="24" width="25.5546875" bestFit="1" customWidth="1"/>
    <col min="25" max="25" width="16.109375" bestFit="1" customWidth="1"/>
    <col min="26" max="26" width="6.88671875" customWidth="1"/>
  </cols>
  <sheetData>
    <row r="1" spans="1:49" x14ac:dyDescent="0.3">
      <c r="A1">
        <v>2</v>
      </c>
      <c r="AB1" t="s">
        <v>30</v>
      </c>
    </row>
    <row r="2" spans="1:49" x14ac:dyDescent="0.3">
      <c r="A2" s="1" t="s">
        <v>21</v>
      </c>
      <c r="B2" s="1" t="s">
        <v>20</v>
      </c>
      <c r="O2" s="8" t="s">
        <v>21</v>
      </c>
      <c r="P2" s="8" t="s">
        <v>20</v>
      </c>
      <c r="Q2" s="8"/>
      <c r="R2" s="8"/>
      <c r="S2" s="8"/>
      <c r="T2" s="8"/>
      <c r="U2" s="8"/>
      <c r="V2" s="8"/>
      <c r="W2" s="8"/>
      <c r="X2" s="8"/>
      <c r="Y2" s="8"/>
      <c r="AA2" t="s">
        <v>18</v>
      </c>
      <c r="AB2">
        <v>10</v>
      </c>
      <c r="AC2">
        <v>20</v>
      </c>
      <c r="AD2">
        <v>30</v>
      </c>
      <c r="AE2">
        <v>40</v>
      </c>
      <c r="AF2">
        <v>50</v>
      </c>
      <c r="AG2">
        <v>60</v>
      </c>
      <c r="AH2">
        <v>70</v>
      </c>
      <c r="AI2">
        <v>80</v>
      </c>
      <c r="AJ2">
        <v>90</v>
      </c>
      <c r="AK2">
        <v>100</v>
      </c>
      <c r="AM2" t="s">
        <v>18</v>
      </c>
      <c r="AN2">
        <v>10</v>
      </c>
      <c r="AO2">
        <v>20</v>
      </c>
      <c r="AP2">
        <v>30</v>
      </c>
      <c r="AQ2">
        <v>40</v>
      </c>
      <c r="AR2">
        <v>50</v>
      </c>
      <c r="AS2">
        <v>60</v>
      </c>
      <c r="AT2">
        <v>70</v>
      </c>
      <c r="AU2">
        <v>80</v>
      </c>
      <c r="AV2">
        <v>90</v>
      </c>
      <c r="AW2">
        <v>100</v>
      </c>
    </row>
    <row r="3" spans="1:49" x14ac:dyDescent="0.3">
      <c r="A3" s="1" t="s">
        <v>18</v>
      </c>
      <c r="B3">
        <v>10</v>
      </c>
      <c r="C3">
        <v>20</v>
      </c>
      <c r="D3">
        <v>30</v>
      </c>
      <c r="E3">
        <v>40</v>
      </c>
      <c r="F3">
        <v>50</v>
      </c>
      <c r="G3">
        <v>60</v>
      </c>
      <c r="H3">
        <v>70</v>
      </c>
      <c r="I3">
        <v>80</v>
      </c>
      <c r="J3">
        <v>90</v>
      </c>
      <c r="K3">
        <v>100</v>
      </c>
      <c r="L3" t="s">
        <v>22</v>
      </c>
      <c r="M3" t="s">
        <v>19</v>
      </c>
      <c r="O3" s="3" t="s">
        <v>18</v>
      </c>
      <c r="P3" s="3">
        <v>10</v>
      </c>
      <c r="Q3" s="3">
        <v>20</v>
      </c>
      <c r="R3" s="3">
        <v>30</v>
      </c>
      <c r="S3" s="3">
        <v>40</v>
      </c>
      <c r="T3" s="3">
        <v>50</v>
      </c>
      <c r="U3" s="3">
        <v>60</v>
      </c>
      <c r="V3" s="3">
        <v>70</v>
      </c>
      <c r="W3" s="3">
        <v>80</v>
      </c>
      <c r="X3" s="3">
        <v>90</v>
      </c>
      <c r="Y3" s="3">
        <v>100</v>
      </c>
      <c r="AA3">
        <v>10</v>
      </c>
      <c r="AB3" s="6">
        <f>(P4+P20+P36+P52+P68+P84+P100+P116+P132+P148)/9</f>
        <v>9.6352222222222199</v>
      </c>
      <c r="AC3" s="6">
        <f t="shared" ref="AC3:AK3" si="0">(Q4+Q20+Q36+Q52+Q68+Q84+Q100+Q116+Q132+Q148)/9</f>
        <v>9.1391111111111112</v>
      </c>
      <c r="AD3" s="6">
        <f t="shared" si="0"/>
        <v>8.9705555555555563</v>
      </c>
      <c r="AE3" s="6">
        <f t="shared" si="0"/>
        <v>8.8861111111111111</v>
      </c>
      <c r="AF3" s="6">
        <f t="shared" si="0"/>
        <v>8.8386666666666649</v>
      </c>
      <c r="AG3" s="6">
        <f t="shared" si="0"/>
        <v>8.8023333333333316</v>
      </c>
      <c r="AH3" s="6">
        <f t="shared" si="0"/>
        <v>8.7806666666666686</v>
      </c>
      <c r="AI3" s="6">
        <f t="shared" si="0"/>
        <v>8.7678888888888888</v>
      </c>
      <c r="AJ3" s="6">
        <f t="shared" si="0"/>
        <v>8.7560000000000002</v>
      </c>
      <c r="AK3" s="6">
        <f t="shared" si="0"/>
        <v>8.746777777777778</v>
      </c>
      <c r="AM3">
        <v>10</v>
      </c>
      <c r="AN3" s="6">
        <v>9.6352222222222199</v>
      </c>
      <c r="AO3" s="6">
        <v>9.1391111111111112</v>
      </c>
      <c r="AP3" s="6">
        <v>8.9705555555555563</v>
      </c>
      <c r="AQ3" s="6">
        <v>8.8861111111111111</v>
      </c>
      <c r="AR3" s="6">
        <v>8.8386666666666649</v>
      </c>
      <c r="AS3" s="6">
        <v>8.8023333333333316</v>
      </c>
      <c r="AT3" s="6">
        <v>8.7806666666666686</v>
      </c>
      <c r="AU3" s="6">
        <v>8.7678888888888888</v>
      </c>
      <c r="AV3" s="6">
        <v>8.7560000000000002</v>
      </c>
      <c r="AW3" s="6">
        <v>8.746777777777778</v>
      </c>
    </row>
    <row r="4" spans="1:49" x14ac:dyDescent="0.3">
      <c r="A4" s="2">
        <v>10</v>
      </c>
      <c r="B4">
        <v>9.6370000000000005</v>
      </c>
      <c r="C4">
        <v>9.1419999999999995</v>
      </c>
      <c r="D4">
        <v>8.9719999999999995</v>
      </c>
      <c r="E4">
        <v>8.8859999999999992</v>
      </c>
      <c r="F4">
        <v>8.8379999999999992</v>
      </c>
      <c r="G4">
        <v>8.8059999999999992</v>
      </c>
      <c r="H4">
        <v>8.7810000000000006</v>
      </c>
      <c r="I4">
        <v>8.7669999999999995</v>
      </c>
      <c r="J4">
        <v>8.7550000000000008</v>
      </c>
      <c r="K4">
        <v>8.7460000000000004</v>
      </c>
      <c r="M4">
        <v>89.329999999999984</v>
      </c>
      <c r="O4" s="2">
        <v>10</v>
      </c>
      <c r="P4">
        <v>9.6370000000000005</v>
      </c>
      <c r="Q4">
        <v>9.1419999999999995</v>
      </c>
      <c r="R4">
        <v>8.9719999999999995</v>
      </c>
      <c r="S4">
        <v>8.8859999999999992</v>
      </c>
      <c r="T4">
        <v>8.8379999999999992</v>
      </c>
      <c r="U4">
        <v>8.8059999999999992</v>
      </c>
      <c r="V4">
        <v>8.7810000000000006</v>
      </c>
      <c r="W4">
        <v>8.7669999999999995</v>
      </c>
      <c r="X4">
        <v>8.7550000000000008</v>
      </c>
      <c r="Y4">
        <v>8.7460000000000004</v>
      </c>
      <c r="AA4">
        <v>20</v>
      </c>
      <c r="AB4" s="6">
        <f t="shared" ref="AB4:AB12" si="1">(P5+P21+P37+P53+P69+P85+P101+P117+P133+P149)/9</f>
        <v>5.762666666666667</v>
      </c>
      <c r="AC4" s="6">
        <f t="shared" ref="AC4:AC12" si="2">(Q5+Q21+Q37+Q53+Q69+Q85+Q101+Q117+Q133+Q149)/9</f>
        <v>5.0584444444444436</v>
      </c>
      <c r="AD4" s="6">
        <f t="shared" ref="AD4:AD12" si="3">(R5+R21+R37+R53+R69+R85+R101+R117+R133+R149)/9</f>
        <v>4.8231111111111113</v>
      </c>
      <c r="AE4" s="6">
        <f t="shared" ref="AE4:AE12" si="4">(S5+S21+S37+S53+S69+S85+S101+S117+S133+S149)/9</f>
        <v>4.7060000000000004</v>
      </c>
      <c r="AF4" s="6">
        <f t="shared" ref="AF4:AF12" si="5">(T5+T21+T37+T53+T69+T85+T101+T117+T133+T149)/9</f>
        <v>4.6342222222222214</v>
      </c>
      <c r="AG4" s="6">
        <f t="shared" ref="AG4:AG12" si="6">(U5+U21+U37+U53+U69+U85+U101+U117+U133+U149)/9</f>
        <v>4.5936666666666666</v>
      </c>
      <c r="AH4" s="6">
        <f t="shared" ref="AH4:AH12" si="7">(V5+V21+V37+V53+V69+V85+V101+V117+V133+V149)/9</f>
        <v>4.5624444444444441</v>
      </c>
      <c r="AI4" s="6">
        <f t="shared" ref="AI4:AI12" si="8">(W5+W21+W37+W53+W69+W85+W101+W117+W133+W149)/9</f>
        <v>4.541555555555556</v>
      </c>
      <c r="AJ4" s="6">
        <f t="shared" ref="AJ4:AJ12" si="9">(X5+X21+X37+X53+X69+X85+X101+X117+X133+X149)/9</f>
        <v>4.5295555555555564</v>
      </c>
      <c r="AK4" s="6">
        <f t="shared" ref="AK4:AK12" si="10">(Y5+Y21+Y37+Y53+Y69+Y85+Y101+Y117+Y133+Y149)/9</f>
        <v>4.5172222222222214</v>
      </c>
      <c r="AM4">
        <v>20</v>
      </c>
      <c r="AN4" s="6">
        <v>5.762666666666667</v>
      </c>
      <c r="AO4" s="6">
        <v>5.0584444444444436</v>
      </c>
      <c r="AP4" s="6">
        <v>4.8231111111111113</v>
      </c>
      <c r="AQ4" s="6">
        <v>4.7060000000000004</v>
      </c>
      <c r="AR4" s="6">
        <v>4.6342222222222214</v>
      </c>
      <c r="AS4" s="6">
        <v>4.5936666666666666</v>
      </c>
      <c r="AT4" s="6">
        <v>4.5624444444444441</v>
      </c>
      <c r="AU4" s="6">
        <v>4.541555555555556</v>
      </c>
      <c r="AV4" s="6">
        <v>4.5295555555555564</v>
      </c>
      <c r="AW4" s="6">
        <v>4.5172222222222214</v>
      </c>
    </row>
    <row r="5" spans="1:49" x14ac:dyDescent="0.3">
      <c r="A5" s="2">
        <v>20</v>
      </c>
      <c r="B5">
        <v>5.7610000000000001</v>
      </c>
      <c r="C5">
        <v>5.0579999999999998</v>
      </c>
      <c r="D5">
        <v>4.8220000000000001</v>
      </c>
      <c r="E5">
        <v>4.7060000000000004</v>
      </c>
      <c r="F5">
        <v>4.6360000000000001</v>
      </c>
      <c r="G5">
        <v>4.5919999999999996</v>
      </c>
      <c r="H5">
        <v>4.5620000000000003</v>
      </c>
      <c r="I5">
        <v>4.5439999999999996</v>
      </c>
      <c r="J5">
        <v>4.5309999999999997</v>
      </c>
      <c r="K5">
        <v>4.5190000000000001</v>
      </c>
      <c r="M5">
        <v>47.730999999999987</v>
      </c>
      <c r="O5" s="2">
        <v>20</v>
      </c>
      <c r="P5">
        <v>5.7610000000000001</v>
      </c>
      <c r="Q5">
        <v>5.0579999999999998</v>
      </c>
      <c r="R5">
        <v>4.8220000000000001</v>
      </c>
      <c r="S5">
        <v>4.7060000000000004</v>
      </c>
      <c r="T5">
        <v>4.6360000000000001</v>
      </c>
      <c r="U5">
        <v>4.5919999999999996</v>
      </c>
      <c r="V5">
        <v>4.5620000000000003</v>
      </c>
      <c r="W5">
        <v>4.5439999999999996</v>
      </c>
      <c r="X5">
        <v>4.5309999999999997</v>
      </c>
      <c r="Y5">
        <v>4.5190000000000001</v>
      </c>
      <c r="AA5">
        <v>30</v>
      </c>
      <c r="AB5" s="6">
        <f t="shared" si="1"/>
        <v>4.6501111111111113</v>
      </c>
      <c r="AC5" s="6">
        <f t="shared" si="2"/>
        <v>3.7861111111111114</v>
      </c>
      <c r="AD5" s="6">
        <f t="shared" si="3"/>
        <v>3.4982222222222226</v>
      </c>
      <c r="AE5" s="6">
        <f t="shared" si="4"/>
        <v>3.3547777777777781</v>
      </c>
      <c r="AF5" s="6">
        <f t="shared" si="5"/>
        <v>3.2715555555555556</v>
      </c>
      <c r="AG5" s="6">
        <f t="shared" si="6"/>
        <v>3.221222222222222</v>
      </c>
      <c r="AH5" s="6">
        <f t="shared" si="7"/>
        <v>3.1842222222222225</v>
      </c>
      <c r="AI5" s="6">
        <f t="shared" si="8"/>
        <v>3.1603333333333334</v>
      </c>
      <c r="AJ5" s="6">
        <f t="shared" si="9"/>
        <v>3.1423333333333332</v>
      </c>
      <c r="AK5" s="6">
        <f t="shared" si="10"/>
        <v>3.1301111111111108</v>
      </c>
      <c r="AM5">
        <v>30</v>
      </c>
      <c r="AN5" s="6">
        <v>4.6501111111111113</v>
      </c>
      <c r="AO5" s="6">
        <v>3.7861111111111114</v>
      </c>
      <c r="AP5" s="6">
        <v>3.4982222222222226</v>
      </c>
      <c r="AQ5" s="6">
        <v>3.3547777777777781</v>
      </c>
      <c r="AR5" s="6">
        <v>3.2715555555555556</v>
      </c>
      <c r="AS5" s="6">
        <v>3.221222222222222</v>
      </c>
      <c r="AT5" s="6">
        <v>3.1842222222222225</v>
      </c>
      <c r="AU5" s="6">
        <v>3.1603333333333334</v>
      </c>
      <c r="AV5" s="6">
        <v>3.1423333333333332</v>
      </c>
      <c r="AW5" s="6">
        <v>3.1301111111111108</v>
      </c>
    </row>
    <row r="6" spans="1:49" x14ac:dyDescent="0.3">
      <c r="A6" s="2">
        <v>30</v>
      </c>
      <c r="B6">
        <v>4.6479999999999997</v>
      </c>
      <c r="C6">
        <v>3.7850000000000001</v>
      </c>
      <c r="D6">
        <v>3.4990000000000001</v>
      </c>
      <c r="E6">
        <v>3.3540000000000001</v>
      </c>
      <c r="F6">
        <v>3.2719999999999998</v>
      </c>
      <c r="G6">
        <v>3.2240000000000002</v>
      </c>
      <c r="H6">
        <v>3.1819999999999999</v>
      </c>
      <c r="I6">
        <v>3.16</v>
      </c>
      <c r="J6">
        <v>3.1429999999999998</v>
      </c>
      <c r="K6">
        <v>3.1280000000000001</v>
      </c>
      <c r="M6">
        <v>34.394999999999996</v>
      </c>
      <c r="O6" s="2">
        <v>30</v>
      </c>
      <c r="P6">
        <v>4.6479999999999997</v>
      </c>
      <c r="Q6">
        <v>3.7850000000000001</v>
      </c>
      <c r="R6">
        <v>3.4990000000000001</v>
      </c>
      <c r="S6">
        <v>3.3540000000000001</v>
      </c>
      <c r="T6">
        <v>3.2719999999999998</v>
      </c>
      <c r="U6">
        <v>3.2240000000000002</v>
      </c>
      <c r="V6">
        <v>3.1819999999999999</v>
      </c>
      <c r="W6">
        <v>3.16</v>
      </c>
      <c r="X6">
        <v>3.1429999999999998</v>
      </c>
      <c r="Y6">
        <v>3.1280000000000001</v>
      </c>
      <c r="AA6">
        <v>40</v>
      </c>
      <c r="AB6" s="6">
        <f t="shared" si="1"/>
        <v>4.2063333333333333</v>
      </c>
      <c r="AC6" s="6">
        <f t="shared" si="2"/>
        <v>3.2071111111111108</v>
      </c>
      <c r="AD6" s="6">
        <f t="shared" si="3"/>
        <v>2.8765555555555555</v>
      </c>
      <c r="AE6" s="6">
        <f t="shared" si="4"/>
        <v>2.7067777777777779</v>
      </c>
      <c r="AF6" s="6">
        <f t="shared" si="5"/>
        <v>2.6118888888888887</v>
      </c>
      <c r="AG6" s="6">
        <f t="shared" si="6"/>
        <v>2.5513333333333335</v>
      </c>
      <c r="AH6" s="6">
        <f t="shared" si="7"/>
        <v>2.5096666666666665</v>
      </c>
      <c r="AI6" s="6">
        <f t="shared" si="8"/>
        <v>2.484</v>
      </c>
      <c r="AJ6" s="6">
        <f t="shared" si="9"/>
        <v>2.4642222222222223</v>
      </c>
      <c r="AK6" s="6">
        <f t="shared" si="10"/>
        <v>2.446333333333333</v>
      </c>
      <c r="AM6">
        <v>40</v>
      </c>
      <c r="AN6" s="6">
        <v>4.2063333333333333</v>
      </c>
      <c r="AO6" s="6">
        <v>3.2071111111111108</v>
      </c>
      <c r="AP6" s="6">
        <v>2.8765555555555555</v>
      </c>
      <c r="AQ6" s="6">
        <v>2.7067777777777779</v>
      </c>
      <c r="AR6" s="6">
        <v>2.6118888888888887</v>
      </c>
      <c r="AS6" s="6">
        <v>2.5513333333333335</v>
      </c>
      <c r="AT6" s="6">
        <v>2.5096666666666665</v>
      </c>
      <c r="AU6" s="6">
        <v>2.484</v>
      </c>
      <c r="AV6" s="6">
        <v>2.4642222222222223</v>
      </c>
      <c r="AW6" s="6">
        <v>2.446333333333333</v>
      </c>
    </row>
    <row r="7" spans="1:49" x14ac:dyDescent="0.3">
      <c r="A7" s="2">
        <v>40</v>
      </c>
      <c r="B7">
        <v>4.2050000000000001</v>
      </c>
      <c r="C7">
        <v>3.2050000000000001</v>
      </c>
      <c r="D7">
        <v>2.879</v>
      </c>
      <c r="E7">
        <v>2.7050000000000001</v>
      </c>
      <c r="F7">
        <v>2.613</v>
      </c>
      <c r="G7">
        <v>2.5499999999999998</v>
      </c>
      <c r="H7">
        <v>2.5089999999999999</v>
      </c>
      <c r="I7">
        <v>2.4849999999999999</v>
      </c>
      <c r="J7">
        <v>2.464</v>
      </c>
      <c r="K7">
        <v>2.4460000000000002</v>
      </c>
      <c r="M7">
        <v>28.061</v>
      </c>
      <c r="O7" s="2">
        <v>40</v>
      </c>
      <c r="P7">
        <v>4.2050000000000001</v>
      </c>
      <c r="Q7">
        <v>3.2050000000000001</v>
      </c>
      <c r="R7">
        <v>2.879</v>
      </c>
      <c r="S7">
        <v>2.7050000000000001</v>
      </c>
      <c r="T7">
        <v>2.613</v>
      </c>
      <c r="U7">
        <v>2.5499999999999998</v>
      </c>
      <c r="V7">
        <v>2.5089999999999999</v>
      </c>
      <c r="W7">
        <v>2.4849999999999999</v>
      </c>
      <c r="X7">
        <v>2.464</v>
      </c>
      <c r="Y7">
        <v>2.4460000000000002</v>
      </c>
      <c r="AA7">
        <v>50</v>
      </c>
      <c r="AB7" s="6">
        <f t="shared" si="1"/>
        <v>3.9774444444444441</v>
      </c>
      <c r="AC7" s="6">
        <f t="shared" si="2"/>
        <v>2.8945555555555553</v>
      </c>
      <c r="AD7" s="6">
        <f t="shared" si="3"/>
        <v>2.5235555555555553</v>
      </c>
      <c r="AE7" s="6">
        <f t="shared" si="4"/>
        <v>2.3384444444444448</v>
      </c>
      <c r="AF7" s="6">
        <f t="shared" si="5"/>
        <v>2.2322222222222221</v>
      </c>
      <c r="AG7" s="6">
        <f t="shared" si="6"/>
        <v>2.1656666666666666</v>
      </c>
      <c r="AH7" s="6">
        <f t="shared" si="7"/>
        <v>2.117777777777778</v>
      </c>
      <c r="AI7" s="6">
        <f t="shared" si="8"/>
        <v>2.0874444444444444</v>
      </c>
      <c r="AJ7" s="6">
        <f t="shared" si="9"/>
        <v>2.064111111111111</v>
      </c>
      <c r="AK7" s="6">
        <f t="shared" si="10"/>
        <v>2.0447777777777785</v>
      </c>
      <c r="AM7">
        <v>50</v>
      </c>
      <c r="AN7" s="6">
        <v>3.9774444444444441</v>
      </c>
      <c r="AO7" s="6">
        <v>2.8945555555555553</v>
      </c>
      <c r="AP7" s="6">
        <v>2.5235555555555553</v>
      </c>
      <c r="AQ7" s="6">
        <v>2.3384444444444448</v>
      </c>
      <c r="AR7" s="6">
        <v>2.2322222222222221</v>
      </c>
      <c r="AS7" s="6">
        <v>2.1656666666666666</v>
      </c>
      <c r="AT7" s="6">
        <v>2.117777777777778</v>
      </c>
      <c r="AU7" s="6">
        <v>2.0874444444444444</v>
      </c>
      <c r="AV7" s="6">
        <v>2.064111111111111</v>
      </c>
      <c r="AW7" s="6">
        <v>2.0447777777777785</v>
      </c>
    </row>
    <row r="8" spans="1:49" x14ac:dyDescent="0.3">
      <c r="A8" s="2">
        <v>50</v>
      </c>
      <c r="B8">
        <v>3.9769999999999999</v>
      </c>
      <c r="C8">
        <v>2.8940000000000001</v>
      </c>
      <c r="D8">
        <v>2.5219999999999998</v>
      </c>
      <c r="E8">
        <v>2.339</v>
      </c>
      <c r="F8">
        <v>2.23</v>
      </c>
      <c r="G8">
        <v>2.165</v>
      </c>
      <c r="H8">
        <v>2.117</v>
      </c>
      <c r="I8">
        <v>2.085</v>
      </c>
      <c r="J8">
        <v>2.0659999999999998</v>
      </c>
      <c r="K8">
        <v>2.0419999999999998</v>
      </c>
      <c r="M8">
        <v>24.437000000000005</v>
      </c>
      <c r="O8" s="2">
        <v>50</v>
      </c>
      <c r="P8">
        <v>3.9769999999999999</v>
      </c>
      <c r="Q8">
        <v>2.8940000000000001</v>
      </c>
      <c r="R8">
        <v>2.5219999999999998</v>
      </c>
      <c r="S8">
        <v>2.339</v>
      </c>
      <c r="T8">
        <v>2.23</v>
      </c>
      <c r="U8">
        <v>2.165</v>
      </c>
      <c r="V8">
        <v>2.117</v>
      </c>
      <c r="W8">
        <v>2.085</v>
      </c>
      <c r="X8">
        <v>2.0659999999999998</v>
      </c>
      <c r="Y8">
        <v>2.0419999999999998</v>
      </c>
      <c r="AA8">
        <v>60</v>
      </c>
      <c r="AB8" s="6">
        <f t="shared" si="1"/>
        <v>3.8016666666666672</v>
      </c>
      <c r="AC8" s="6">
        <f t="shared" si="2"/>
        <v>2.7177777777777776</v>
      </c>
      <c r="AD8" s="6">
        <f t="shared" si="3"/>
        <v>2.3104444444444443</v>
      </c>
      <c r="AE8" s="6">
        <f t="shared" si="4"/>
        <v>2.1062222222222222</v>
      </c>
      <c r="AF8" s="6">
        <f t="shared" si="5"/>
        <v>1.9901111111111112</v>
      </c>
      <c r="AG8" s="6">
        <f t="shared" si="6"/>
        <v>1.9151111111111108</v>
      </c>
      <c r="AH8" s="6">
        <f t="shared" si="7"/>
        <v>1.8651111111111112</v>
      </c>
      <c r="AI8" s="6">
        <f t="shared" si="8"/>
        <v>1.8295555555555556</v>
      </c>
      <c r="AJ8" s="6">
        <f t="shared" si="9"/>
        <v>1.8036666666666672</v>
      </c>
      <c r="AK8" s="6">
        <f t="shared" si="10"/>
        <v>1.7837777777777777</v>
      </c>
      <c r="AM8">
        <v>60</v>
      </c>
      <c r="AN8" s="6">
        <v>3.8016666666666672</v>
      </c>
      <c r="AO8" s="6">
        <v>2.7177777777777776</v>
      </c>
      <c r="AP8" s="6">
        <v>2.3104444444444443</v>
      </c>
      <c r="AQ8" s="6">
        <v>2.1062222222222222</v>
      </c>
      <c r="AR8" s="6">
        <v>1.9901111111111112</v>
      </c>
      <c r="AS8" s="6">
        <v>1.9151111111111108</v>
      </c>
      <c r="AT8" s="6">
        <v>1.8651111111111112</v>
      </c>
      <c r="AU8" s="6">
        <v>1.8295555555555556</v>
      </c>
      <c r="AV8" s="6">
        <v>1.8036666666666672</v>
      </c>
      <c r="AW8" s="6">
        <v>1.7837777777777777</v>
      </c>
    </row>
    <row r="9" spans="1:49" x14ac:dyDescent="0.3">
      <c r="A9" s="2">
        <v>60</v>
      </c>
      <c r="B9">
        <v>3.802</v>
      </c>
      <c r="C9">
        <v>2.7170000000000001</v>
      </c>
      <c r="D9">
        <v>2.3130000000000002</v>
      </c>
      <c r="E9">
        <v>2.105</v>
      </c>
      <c r="F9">
        <v>1.9930000000000001</v>
      </c>
      <c r="G9">
        <v>1.915</v>
      </c>
      <c r="H9">
        <v>1.865</v>
      </c>
      <c r="I9">
        <v>1.829</v>
      </c>
      <c r="J9">
        <v>1.8029999999999999</v>
      </c>
      <c r="K9">
        <v>1.7829999999999999</v>
      </c>
      <c r="M9">
        <v>22.125000000000004</v>
      </c>
      <c r="O9" s="2">
        <v>60</v>
      </c>
      <c r="P9">
        <v>3.802</v>
      </c>
      <c r="Q9">
        <v>2.7170000000000001</v>
      </c>
      <c r="R9">
        <v>2.3130000000000002</v>
      </c>
      <c r="S9">
        <v>2.105</v>
      </c>
      <c r="T9">
        <v>1.9930000000000001</v>
      </c>
      <c r="U9">
        <v>1.915</v>
      </c>
      <c r="V9">
        <v>1.865</v>
      </c>
      <c r="W9">
        <v>1.829</v>
      </c>
      <c r="X9">
        <v>1.8029999999999999</v>
      </c>
      <c r="Y9">
        <v>1.7829999999999999</v>
      </c>
      <c r="AA9">
        <v>70</v>
      </c>
      <c r="AB9" s="6">
        <f t="shared" si="1"/>
        <v>3.6620000000000008</v>
      </c>
      <c r="AC9" s="6">
        <f t="shared" si="2"/>
        <v>2.6112222222222226</v>
      </c>
      <c r="AD9" s="6">
        <f t="shared" si="3"/>
        <v>2.1710000000000003</v>
      </c>
      <c r="AE9" s="6">
        <f t="shared" si="4"/>
        <v>1.9511111111111115</v>
      </c>
      <c r="AF9" s="6">
        <f t="shared" si="5"/>
        <v>1.8271111111111107</v>
      </c>
      <c r="AG9" s="6">
        <f t="shared" si="6"/>
        <v>1.7450000000000001</v>
      </c>
      <c r="AH9" s="6">
        <f t="shared" si="7"/>
        <v>1.6902222222222223</v>
      </c>
      <c r="AI9" s="6">
        <f t="shared" si="8"/>
        <v>1.6514444444444445</v>
      </c>
      <c r="AJ9" s="6">
        <f t="shared" si="9"/>
        <v>1.6222222222222225</v>
      </c>
      <c r="AK9" s="6">
        <f t="shared" si="10"/>
        <v>1.6006666666666667</v>
      </c>
      <c r="AM9">
        <v>70</v>
      </c>
      <c r="AN9" s="6">
        <v>3.6620000000000008</v>
      </c>
      <c r="AO9" s="6">
        <v>2.6112222222222226</v>
      </c>
      <c r="AP9" s="6">
        <v>2.1710000000000003</v>
      </c>
      <c r="AQ9" s="6">
        <v>1.9511111111111115</v>
      </c>
      <c r="AR9" s="6">
        <v>1.8271111111111107</v>
      </c>
      <c r="AS9" s="6">
        <v>1.7450000000000001</v>
      </c>
      <c r="AT9" s="6">
        <v>1.6902222222222223</v>
      </c>
      <c r="AU9" s="6">
        <v>1.6514444444444445</v>
      </c>
      <c r="AV9" s="6">
        <v>1.6222222222222225</v>
      </c>
      <c r="AW9" s="6">
        <v>1.6006666666666667</v>
      </c>
    </row>
    <row r="10" spans="1:49" x14ac:dyDescent="0.3">
      <c r="A10" s="2">
        <v>70</v>
      </c>
      <c r="B10">
        <v>3.6629999999999998</v>
      </c>
      <c r="C10">
        <v>2.6120000000000001</v>
      </c>
      <c r="D10">
        <v>2.1739999999999999</v>
      </c>
      <c r="E10">
        <v>1.9510000000000001</v>
      </c>
      <c r="F10">
        <v>1.8280000000000001</v>
      </c>
      <c r="G10">
        <v>1.744</v>
      </c>
      <c r="H10">
        <v>1.6910000000000001</v>
      </c>
      <c r="I10">
        <v>1.651</v>
      </c>
      <c r="J10">
        <v>1.623</v>
      </c>
      <c r="K10">
        <v>1.603</v>
      </c>
      <c r="M10">
        <v>20.540000000000003</v>
      </c>
      <c r="O10" s="2">
        <v>70</v>
      </c>
      <c r="P10">
        <v>3.6629999999999998</v>
      </c>
      <c r="Q10">
        <v>2.6120000000000001</v>
      </c>
      <c r="R10">
        <v>2.1739999999999999</v>
      </c>
      <c r="S10">
        <v>1.9510000000000001</v>
      </c>
      <c r="T10">
        <v>1.8280000000000001</v>
      </c>
      <c r="U10">
        <v>1.744</v>
      </c>
      <c r="V10">
        <v>1.6910000000000001</v>
      </c>
      <c r="W10">
        <v>1.651</v>
      </c>
      <c r="X10">
        <v>1.623</v>
      </c>
      <c r="Y10">
        <v>1.603</v>
      </c>
      <c r="AA10">
        <v>80</v>
      </c>
      <c r="AB10" s="6">
        <f t="shared" si="1"/>
        <v>3.5422222222222222</v>
      </c>
      <c r="AC10" s="6">
        <f t="shared" si="2"/>
        <v>2.5264444444444445</v>
      </c>
      <c r="AD10" s="6">
        <f t="shared" si="3"/>
        <v>2.0782222222222222</v>
      </c>
      <c r="AE10" s="6">
        <f t="shared" si="4"/>
        <v>1.8416666666666666</v>
      </c>
      <c r="AF10" s="6">
        <f t="shared" si="5"/>
        <v>1.7104444444444444</v>
      </c>
      <c r="AG10" s="6">
        <f t="shared" si="6"/>
        <v>1.6215555555555554</v>
      </c>
      <c r="AH10" s="6">
        <f t="shared" si="7"/>
        <v>1.5646666666666667</v>
      </c>
      <c r="AI10" s="6">
        <f t="shared" si="8"/>
        <v>1.5225555555555554</v>
      </c>
      <c r="AJ10" s="6">
        <f t="shared" si="9"/>
        <v>1.4932222222222225</v>
      </c>
      <c r="AK10" s="6">
        <f t="shared" si="10"/>
        <v>1.467888888888889</v>
      </c>
      <c r="AM10">
        <v>80</v>
      </c>
      <c r="AN10" s="6">
        <v>3.5422222222222222</v>
      </c>
      <c r="AO10" s="6">
        <v>2.5264444444444445</v>
      </c>
      <c r="AP10" s="6">
        <v>2.0782222222222222</v>
      </c>
      <c r="AQ10" s="6">
        <v>1.8416666666666666</v>
      </c>
      <c r="AR10" s="6">
        <v>1.7104444444444444</v>
      </c>
      <c r="AS10" s="6">
        <v>1.6215555555555554</v>
      </c>
      <c r="AT10" s="6">
        <v>1.5646666666666667</v>
      </c>
      <c r="AU10" s="6">
        <v>1.5225555555555554</v>
      </c>
      <c r="AV10" s="6">
        <v>1.4932222222222225</v>
      </c>
      <c r="AW10" s="6">
        <v>1.467888888888889</v>
      </c>
    </row>
    <row r="11" spans="1:49" x14ac:dyDescent="0.3">
      <c r="A11" s="2">
        <v>80</v>
      </c>
      <c r="B11">
        <v>3.5419999999999998</v>
      </c>
      <c r="C11">
        <v>2.5259999999999998</v>
      </c>
      <c r="D11">
        <v>2.0779999999999998</v>
      </c>
      <c r="E11">
        <v>1.841</v>
      </c>
      <c r="F11">
        <v>1.7110000000000001</v>
      </c>
      <c r="G11">
        <v>1.619</v>
      </c>
      <c r="H11">
        <v>1.5629999999999999</v>
      </c>
      <c r="I11">
        <v>1.524</v>
      </c>
      <c r="J11">
        <v>1.4950000000000001</v>
      </c>
      <c r="K11">
        <v>1.4690000000000001</v>
      </c>
      <c r="M11">
        <v>19.368000000000002</v>
      </c>
      <c r="O11" s="2">
        <v>80</v>
      </c>
      <c r="P11">
        <v>3.5419999999999998</v>
      </c>
      <c r="Q11">
        <v>2.5259999999999998</v>
      </c>
      <c r="R11">
        <v>2.0779999999999998</v>
      </c>
      <c r="S11">
        <v>1.841</v>
      </c>
      <c r="T11">
        <v>1.7110000000000001</v>
      </c>
      <c r="U11">
        <v>1.619</v>
      </c>
      <c r="V11">
        <v>1.5629999999999999</v>
      </c>
      <c r="W11">
        <v>1.524</v>
      </c>
      <c r="X11">
        <v>1.4950000000000001</v>
      </c>
      <c r="Y11">
        <v>1.4690000000000001</v>
      </c>
      <c r="AA11">
        <v>90</v>
      </c>
      <c r="AB11" s="6">
        <f t="shared" si="1"/>
        <v>3.443111111111111</v>
      </c>
      <c r="AC11" s="6">
        <f t="shared" si="2"/>
        <v>2.4535555555555555</v>
      </c>
      <c r="AD11" s="6">
        <f t="shared" si="3"/>
        <v>2.0128888888888889</v>
      </c>
      <c r="AE11" s="6">
        <f t="shared" si="4"/>
        <v>1.7664444444444447</v>
      </c>
      <c r="AF11" s="6">
        <f t="shared" si="5"/>
        <v>1.6268888888888886</v>
      </c>
      <c r="AG11" s="6">
        <f t="shared" si="6"/>
        <v>1.5327777777777778</v>
      </c>
      <c r="AH11" s="6">
        <f t="shared" si="7"/>
        <v>1.47</v>
      </c>
      <c r="AI11" s="6">
        <f t="shared" si="8"/>
        <v>1.4267777777777777</v>
      </c>
      <c r="AJ11" s="6">
        <f t="shared" si="9"/>
        <v>1.3918888888888887</v>
      </c>
      <c r="AK11" s="6">
        <f t="shared" si="10"/>
        <v>1.3665555555555555</v>
      </c>
      <c r="AM11">
        <v>90</v>
      </c>
      <c r="AN11" s="6">
        <v>3.443111111111111</v>
      </c>
      <c r="AO11" s="6">
        <v>2.4535555555555555</v>
      </c>
      <c r="AP11" s="6">
        <v>2.0128888888888889</v>
      </c>
      <c r="AQ11" s="6">
        <v>1.7664444444444447</v>
      </c>
      <c r="AR11" s="6">
        <v>1.6268888888888886</v>
      </c>
      <c r="AS11" s="6">
        <v>1.5327777777777778</v>
      </c>
      <c r="AT11" s="6">
        <v>1.47</v>
      </c>
      <c r="AU11" s="6">
        <v>1.4267777777777777</v>
      </c>
      <c r="AV11" s="6">
        <v>1.3918888888888887</v>
      </c>
      <c r="AW11" s="6">
        <v>1.3665555555555555</v>
      </c>
    </row>
    <row r="12" spans="1:49" x14ac:dyDescent="0.3">
      <c r="A12" s="2">
        <v>90</v>
      </c>
      <c r="B12">
        <v>3.4449999999999998</v>
      </c>
      <c r="C12">
        <v>2.4540000000000002</v>
      </c>
      <c r="D12">
        <v>2.0129999999999999</v>
      </c>
      <c r="E12">
        <v>1.7649999999999999</v>
      </c>
      <c r="F12">
        <v>1.6259999999999999</v>
      </c>
      <c r="G12">
        <v>1.5349999999999999</v>
      </c>
      <c r="H12">
        <v>1.4690000000000001</v>
      </c>
      <c r="I12">
        <v>1.429</v>
      </c>
      <c r="J12">
        <v>1.393</v>
      </c>
      <c r="K12">
        <v>1.3640000000000001</v>
      </c>
      <c r="M12">
        <v>18.492999999999999</v>
      </c>
      <c r="O12" s="2">
        <v>90</v>
      </c>
      <c r="P12">
        <v>3.4449999999999998</v>
      </c>
      <c r="Q12">
        <v>2.4540000000000002</v>
      </c>
      <c r="R12">
        <v>2.0129999999999999</v>
      </c>
      <c r="S12">
        <v>1.7649999999999999</v>
      </c>
      <c r="T12">
        <v>1.6259999999999999</v>
      </c>
      <c r="U12">
        <v>1.5349999999999999</v>
      </c>
      <c r="V12">
        <v>1.4690000000000001</v>
      </c>
      <c r="W12">
        <v>1.429</v>
      </c>
      <c r="X12">
        <v>1.393</v>
      </c>
      <c r="Y12">
        <v>1.3640000000000001</v>
      </c>
      <c r="AA12">
        <v>100</v>
      </c>
      <c r="AB12" s="6">
        <f t="shared" si="1"/>
        <v>3.410222222222222</v>
      </c>
      <c r="AC12" s="6">
        <f t="shared" si="2"/>
        <v>2.3906666666666663</v>
      </c>
      <c r="AD12" s="6">
        <f t="shared" si="3"/>
        <v>1.965111111111111</v>
      </c>
      <c r="AE12" s="6">
        <f t="shared" si="4"/>
        <v>1.7115555555555557</v>
      </c>
      <c r="AF12" s="6">
        <f t="shared" si="5"/>
        <v>1.5645555555555553</v>
      </c>
      <c r="AG12" s="6">
        <f t="shared" si="6"/>
        <v>1.4665555555555558</v>
      </c>
      <c r="AH12" s="6">
        <f t="shared" si="7"/>
        <v>1.3975555555555552</v>
      </c>
      <c r="AI12" s="6">
        <f t="shared" si="8"/>
        <v>1.3528888888888888</v>
      </c>
      <c r="AJ12" s="6">
        <f t="shared" si="9"/>
        <v>1.3154444444444444</v>
      </c>
      <c r="AK12" s="6">
        <f t="shared" si="10"/>
        <v>1.2871111111111113</v>
      </c>
      <c r="AM12">
        <v>100</v>
      </c>
      <c r="AN12" s="6">
        <v>3.410222222222222</v>
      </c>
      <c r="AO12" s="6">
        <v>2.3906666666666663</v>
      </c>
      <c r="AP12" s="6">
        <v>1.965111111111111</v>
      </c>
      <c r="AQ12" s="6">
        <v>1.7115555555555557</v>
      </c>
      <c r="AR12" s="6">
        <v>1.5645555555555553</v>
      </c>
      <c r="AS12" s="6">
        <v>1.4665555555555558</v>
      </c>
      <c r="AT12" s="6">
        <v>1.3975555555555552</v>
      </c>
      <c r="AU12" s="6">
        <v>1.3528888888888888</v>
      </c>
      <c r="AV12" s="6">
        <v>1.3154444444444444</v>
      </c>
      <c r="AW12" s="6">
        <v>1.2871111111111113</v>
      </c>
    </row>
    <row r="13" spans="1:49" x14ac:dyDescent="0.3">
      <c r="A13" s="2">
        <v>100</v>
      </c>
      <c r="B13">
        <v>3.411</v>
      </c>
      <c r="C13">
        <v>2.39</v>
      </c>
      <c r="D13">
        <v>1.9650000000000001</v>
      </c>
      <c r="E13">
        <v>1.7110000000000001</v>
      </c>
      <c r="F13">
        <v>1.5649999999999999</v>
      </c>
      <c r="G13">
        <v>1.4630000000000001</v>
      </c>
      <c r="H13">
        <v>1.399</v>
      </c>
      <c r="I13">
        <v>1.3520000000000001</v>
      </c>
      <c r="J13">
        <v>1.3140000000000001</v>
      </c>
      <c r="K13">
        <v>1.2869999999999999</v>
      </c>
      <c r="M13">
        <v>17.856999999999999</v>
      </c>
      <c r="O13" s="2">
        <v>100</v>
      </c>
      <c r="P13">
        <v>3.411</v>
      </c>
      <c r="Q13">
        <v>2.39</v>
      </c>
      <c r="R13">
        <v>1.9650000000000001</v>
      </c>
      <c r="S13">
        <v>1.7110000000000001</v>
      </c>
      <c r="T13">
        <v>1.5649999999999999</v>
      </c>
      <c r="U13">
        <v>1.4630000000000001</v>
      </c>
      <c r="V13">
        <v>1.399</v>
      </c>
      <c r="W13">
        <v>1.3520000000000001</v>
      </c>
      <c r="X13">
        <v>1.3140000000000001</v>
      </c>
      <c r="Y13">
        <v>1.2869999999999999</v>
      </c>
    </row>
    <row r="14" spans="1:49" x14ac:dyDescent="0.3">
      <c r="A14" s="2" t="s">
        <v>22</v>
      </c>
    </row>
    <row r="15" spans="1:49" x14ac:dyDescent="0.3">
      <c r="A15" s="2" t="s">
        <v>19</v>
      </c>
      <c r="B15">
        <v>46.091000000000001</v>
      </c>
      <c r="C15">
        <v>36.782999999999994</v>
      </c>
      <c r="D15">
        <v>33.237000000000002</v>
      </c>
      <c r="E15">
        <v>31.362999999999996</v>
      </c>
      <c r="F15">
        <v>30.311999999999998</v>
      </c>
      <c r="G15">
        <v>29.613</v>
      </c>
      <c r="H15">
        <v>29.137999999999998</v>
      </c>
      <c r="I15">
        <v>28.826000000000001</v>
      </c>
      <c r="J15">
        <v>28.587000000000003</v>
      </c>
      <c r="K15">
        <v>28.387000000000004</v>
      </c>
      <c r="M15">
        <v>322.33699999999999</v>
      </c>
    </row>
    <row r="17" spans="1:49" x14ac:dyDescent="0.3">
      <c r="A17">
        <v>3</v>
      </c>
    </row>
    <row r="18" spans="1:49" x14ac:dyDescent="0.3">
      <c r="A18" s="1" t="s">
        <v>21</v>
      </c>
      <c r="B18" s="1" t="s">
        <v>20</v>
      </c>
      <c r="O18" s="8" t="s">
        <v>21</v>
      </c>
      <c r="P18" s="8" t="s">
        <v>20</v>
      </c>
      <c r="Q18" s="8"/>
      <c r="R18" s="8"/>
      <c r="S18" s="8"/>
      <c r="T18" s="8"/>
      <c r="U18" s="8"/>
      <c r="V18" s="8"/>
      <c r="W18" s="8"/>
      <c r="X18" s="8"/>
      <c r="Y18" s="8"/>
    </row>
    <row r="19" spans="1:49" x14ac:dyDescent="0.3">
      <c r="A19" s="1" t="s">
        <v>18</v>
      </c>
      <c r="B19">
        <v>10</v>
      </c>
      <c r="C19">
        <v>20</v>
      </c>
      <c r="D19">
        <v>30</v>
      </c>
      <c r="E19">
        <v>40</v>
      </c>
      <c r="F19">
        <v>50</v>
      </c>
      <c r="G19">
        <v>60</v>
      </c>
      <c r="H19">
        <v>70</v>
      </c>
      <c r="I19">
        <v>80</v>
      </c>
      <c r="J19">
        <v>90</v>
      </c>
      <c r="K19">
        <v>100</v>
      </c>
      <c r="L19" t="s">
        <v>22</v>
      </c>
      <c r="M19" t="s">
        <v>19</v>
      </c>
      <c r="O19" s="3" t="s">
        <v>18</v>
      </c>
      <c r="P19" s="3">
        <v>10</v>
      </c>
      <c r="Q19" s="3">
        <v>20</v>
      </c>
      <c r="R19" s="3">
        <v>30</v>
      </c>
      <c r="S19" s="3">
        <v>40</v>
      </c>
      <c r="T19" s="3">
        <v>50</v>
      </c>
      <c r="U19" s="3">
        <v>60</v>
      </c>
      <c r="V19" s="3">
        <v>70</v>
      </c>
      <c r="W19" s="3">
        <v>80</v>
      </c>
      <c r="X19" s="3">
        <v>90</v>
      </c>
      <c r="Y19" s="3">
        <v>100</v>
      </c>
      <c r="AA19" t="s">
        <v>18</v>
      </c>
      <c r="AB19">
        <v>10</v>
      </c>
      <c r="AC19">
        <v>20</v>
      </c>
      <c r="AD19">
        <v>30</v>
      </c>
      <c r="AE19">
        <v>40</v>
      </c>
      <c r="AF19">
        <v>50</v>
      </c>
      <c r="AG19">
        <v>60</v>
      </c>
      <c r="AH19">
        <v>70</v>
      </c>
      <c r="AI19">
        <v>80</v>
      </c>
      <c r="AJ19">
        <v>90</v>
      </c>
      <c r="AK19">
        <v>100</v>
      </c>
    </row>
    <row r="20" spans="1:49" x14ac:dyDescent="0.3">
      <c r="A20" s="2">
        <v>10</v>
      </c>
      <c r="B20">
        <v>9.6340000000000003</v>
      </c>
      <c r="C20">
        <v>9.1379999999999999</v>
      </c>
      <c r="D20">
        <v>8.9740000000000002</v>
      </c>
      <c r="E20">
        <v>8.8859999999999992</v>
      </c>
      <c r="F20">
        <v>8.8420000000000005</v>
      </c>
      <c r="G20">
        <v>8.8000000000000007</v>
      </c>
      <c r="H20">
        <v>8.7799999999999994</v>
      </c>
      <c r="I20">
        <v>8.766</v>
      </c>
      <c r="J20">
        <v>8.7539999999999996</v>
      </c>
      <c r="K20">
        <v>8.7460000000000004</v>
      </c>
      <c r="M20">
        <v>89.320000000000007</v>
      </c>
      <c r="O20" s="2">
        <v>10</v>
      </c>
      <c r="P20">
        <v>9.6340000000000003</v>
      </c>
      <c r="Q20">
        <v>9.1379999999999999</v>
      </c>
      <c r="R20">
        <v>8.9740000000000002</v>
      </c>
      <c r="S20">
        <v>8.8859999999999992</v>
      </c>
      <c r="T20">
        <v>8.8420000000000005</v>
      </c>
      <c r="U20">
        <v>8.8000000000000007</v>
      </c>
      <c r="V20">
        <v>8.7799999999999994</v>
      </c>
      <c r="W20">
        <v>8.766</v>
      </c>
      <c r="X20">
        <v>8.7539999999999996</v>
      </c>
      <c r="Y20">
        <v>8.7460000000000004</v>
      </c>
      <c r="AA20">
        <v>10</v>
      </c>
      <c r="AB20" s="7">
        <f>AB3/$AK$12-1</f>
        <v>6.4859288674033122</v>
      </c>
      <c r="AC20" s="7">
        <f t="shared" ref="AC20:AK20" si="11">AC3/$AK$12-1</f>
        <v>6.1004834254143638</v>
      </c>
      <c r="AD20" s="7">
        <f t="shared" si="11"/>
        <v>5.9695269337016565</v>
      </c>
      <c r="AE20" s="7">
        <f t="shared" si="11"/>
        <v>5.9039191988950268</v>
      </c>
      <c r="AF20" s="7">
        <f t="shared" si="11"/>
        <v>5.8670580110497212</v>
      </c>
      <c r="AG20" s="7">
        <f t="shared" si="11"/>
        <v>5.8388294198895005</v>
      </c>
      <c r="AH20" s="7">
        <f t="shared" si="11"/>
        <v>5.8219958563535918</v>
      </c>
      <c r="AI20" s="7">
        <f t="shared" si="11"/>
        <v>5.8120683701657443</v>
      </c>
      <c r="AJ20" s="7">
        <f t="shared" si="11"/>
        <v>5.8028314917127064</v>
      </c>
      <c r="AK20" s="7">
        <f t="shared" si="11"/>
        <v>5.7956664364640877</v>
      </c>
      <c r="AN20" s="5"/>
      <c r="AO20" s="5"/>
      <c r="AP20" s="5"/>
      <c r="AQ20" s="5"/>
      <c r="AR20" s="5"/>
      <c r="AS20" s="5"/>
      <c r="AT20" s="5"/>
      <c r="AU20" s="5"/>
      <c r="AV20" s="5"/>
      <c r="AW20" s="5"/>
    </row>
    <row r="21" spans="1:49" x14ac:dyDescent="0.3">
      <c r="A21" s="2">
        <v>20</v>
      </c>
      <c r="B21">
        <v>5.7610000000000001</v>
      </c>
      <c r="C21">
        <v>5.0599999999999996</v>
      </c>
      <c r="D21">
        <v>4.83</v>
      </c>
      <c r="E21">
        <v>4.71</v>
      </c>
      <c r="F21">
        <v>4.6340000000000003</v>
      </c>
      <c r="G21">
        <v>4.593</v>
      </c>
      <c r="H21">
        <v>4.5620000000000003</v>
      </c>
      <c r="I21">
        <v>4.5410000000000004</v>
      </c>
      <c r="J21">
        <v>4.5279999999999996</v>
      </c>
      <c r="K21">
        <v>4.516</v>
      </c>
      <c r="M21">
        <v>47.734999999999999</v>
      </c>
      <c r="O21" s="2">
        <v>20</v>
      </c>
      <c r="P21">
        <v>5.7610000000000001</v>
      </c>
      <c r="Q21">
        <v>5.0599999999999996</v>
      </c>
      <c r="R21">
        <v>4.83</v>
      </c>
      <c r="S21">
        <v>4.71</v>
      </c>
      <c r="T21">
        <v>4.6340000000000003</v>
      </c>
      <c r="U21">
        <v>4.593</v>
      </c>
      <c r="V21">
        <v>4.5620000000000003</v>
      </c>
      <c r="W21">
        <v>4.5410000000000004</v>
      </c>
      <c r="X21">
        <v>4.5279999999999996</v>
      </c>
      <c r="Y21">
        <v>4.516</v>
      </c>
      <c r="AA21">
        <v>20</v>
      </c>
      <c r="AB21" s="7">
        <f t="shared" ref="AB21:AK21" si="12">AB4/$AK$12-1</f>
        <v>3.4772099447513805</v>
      </c>
      <c r="AC21" s="7">
        <f t="shared" si="12"/>
        <v>2.9300759668508274</v>
      </c>
      <c r="AD21" s="7">
        <f t="shared" si="12"/>
        <v>2.7472375690607729</v>
      </c>
      <c r="AE21" s="7">
        <f t="shared" si="12"/>
        <v>2.6562499999999996</v>
      </c>
      <c r="AF21" s="7">
        <f t="shared" si="12"/>
        <v>2.6004834254143634</v>
      </c>
      <c r="AG21" s="7">
        <f t="shared" si="12"/>
        <v>2.5689744475138117</v>
      </c>
      <c r="AH21" s="7">
        <f t="shared" si="12"/>
        <v>2.5447168508287286</v>
      </c>
      <c r="AI21" s="7">
        <f t="shared" si="12"/>
        <v>2.5284875690607733</v>
      </c>
      <c r="AJ21" s="7">
        <f t="shared" si="12"/>
        <v>2.5191643646408841</v>
      </c>
      <c r="AK21" s="7">
        <f t="shared" si="12"/>
        <v>2.5095821823204409</v>
      </c>
      <c r="AN21" s="5"/>
      <c r="AO21" s="5"/>
      <c r="AP21" s="5"/>
      <c r="AQ21" s="5"/>
      <c r="AR21" s="5"/>
      <c r="AS21" s="5"/>
      <c r="AT21" s="5"/>
      <c r="AU21" s="5"/>
      <c r="AV21" s="5"/>
      <c r="AW21" s="5"/>
    </row>
    <row r="22" spans="1:49" x14ac:dyDescent="0.3">
      <c r="A22" s="2">
        <v>30</v>
      </c>
      <c r="B22">
        <v>4.6509999999999998</v>
      </c>
      <c r="C22">
        <v>3.7869999999999999</v>
      </c>
      <c r="D22">
        <v>3.4990000000000001</v>
      </c>
      <c r="E22">
        <v>3.3530000000000002</v>
      </c>
      <c r="F22">
        <v>3.2719999999999998</v>
      </c>
      <c r="G22">
        <v>3.22</v>
      </c>
      <c r="H22">
        <v>3.181</v>
      </c>
      <c r="I22">
        <v>3.16</v>
      </c>
      <c r="J22">
        <v>3.1419999999999999</v>
      </c>
      <c r="K22">
        <v>3.13</v>
      </c>
      <c r="M22">
        <v>34.394999999999996</v>
      </c>
      <c r="O22" s="2">
        <v>30</v>
      </c>
      <c r="P22">
        <v>4.6509999999999998</v>
      </c>
      <c r="Q22">
        <v>3.7869999999999999</v>
      </c>
      <c r="R22">
        <v>3.4990000000000001</v>
      </c>
      <c r="S22">
        <v>3.3530000000000002</v>
      </c>
      <c r="T22">
        <v>3.2719999999999998</v>
      </c>
      <c r="U22">
        <v>3.22</v>
      </c>
      <c r="V22">
        <v>3.181</v>
      </c>
      <c r="W22">
        <v>3.16</v>
      </c>
      <c r="X22">
        <v>3.1419999999999999</v>
      </c>
      <c r="Y22">
        <v>3.13</v>
      </c>
      <c r="AA22">
        <v>30</v>
      </c>
      <c r="AB22" s="7">
        <f t="shared" ref="AB22:AK22" si="13">AB5/$AK$12-1</f>
        <v>2.6128280386740328</v>
      </c>
      <c r="AC22" s="7">
        <f t="shared" si="13"/>
        <v>1.9415573204419889</v>
      </c>
      <c r="AD22" s="7">
        <f t="shared" si="13"/>
        <v>1.7178867403314917</v>
      </c>
      <c r="AE22" s="7">
        <f t="shared" si="13"/>
        <v>1.6064399171270716</v>
      </c>
      <c r="AF22" s="7">
        <f t="shared" si="13"/>
        <v>1.5417817679558006</v>
      </c>
      <c r="AG22" s="7">
        <f t="shared" si="13"/>
        <v>1.5026761049723749</v>
      </c>
      <c r="AH22" s="7">
        <f t="shared" si="13"/>
        <v>1.4739295580110494</v>
      </c>
      <c r="AI22" s="7">
        <f t="shared" si="13"/>
        <v>1.4553694751381214</v>
      </c>
      <c r="AJ22" s="7">
        <f t="shared" si="13"/>
        <v>1.4413846685082867</v>
      </c>
      <c r="AK22" s="7">
        <f t="shared" si="13"/>
        <v>1.4318888121546953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</row>
    <row r="23" spans="1:49" x14ac:dyDescent="0.3">
      <c r="A23" s="2">
        <v>40</v>
      </c>
      <c r="B23">
        <v>4.2039999999999997</v>
      </c>
      <c r="C23">
        <v>3.206</v>
      </c>
      <c r="D23">
        <v>2.8759999999999999</v>
      </c>
      <c r="E23">
        <v>2.7050000000000001</v>
      </c>
      <c r="F23">
        <v>2.61</v>
      </c>
      <c r="G23">
        <v>2.5510000000000002</v>
      </c>
      <c r="H23">
        <v>2.508</v>
      </c>
      <c r="I23">
        <v>2.484</v>
      </c>
      <c r="J23">
        <v>2.4630000000000001</v>
      </c>
      <c r="K23">
        <v>2.4460000000000002</v>
      </c>
      <c r="M23">
        <v>28.053000000000001</v>
      </c>
      <c r="O23" s="2">
        <v>40</v>
      </c>
      <c r="P23">
        <v>4.2039999999999997</v>
      </c>
      <c r="Q23">
        <v>3.206</v>
      </c>
      <c r="R23">
        <v>2.8759999999999999</v>
      </c>
      <c r="S23">
        <v>2.7050000000000001</v>
      </c>
      <c r="T23">
        <v>2.61</v>
      </c>
      <c r="U23">
        <v>2.5510000000000002</v>
      </c>
      <c r="V23">
        <v>2.508</v>
      </c>
      <c r="W23">
        <v>2.484</v>
      </c>
      <c r="X23">
        <v>2.4630000000000001</v>
      </c>
      <c r="Y23">
        <v>2.4460000000000002</v>
      </c>
      <c r="AA23">
        <v>40</v>
      </c>
      <c r="AB23" s="7">
        <f t="shared" ref="AB23:AK23" si="14">AB6/$AK$12-1</f>
        <v>2.2680421270718227</v>
      </c>
      <c r="AC23" s="7">
        <f t="shared" si="14"/>
        <v>1.49171270718232</v>
      </c>
      <c r="AD23" s="7">
        <f t="shared" si="14"/>
        <v>1.2348929558011048</v>
      </c>
      <c r="AE23" s="7">
        <f t="shared" si="14"/>
        <v>1.1029868784530383</v>
      </c>
      <c r="AF23" s="7">
        <f t="shared" si="14"/>
        <v>1.0292645027624303</v>
      </c>
      <c r="AG23" s="7">
        <f t="shared" si="14"/>
        <v>0.982216850828729</v>
      </c>
      <c r="AH23" s="7">
        <f t="shared" si="14"/>
        <v>0.94984461325966807</v>
      </c>
      <c r="AI23" s="7">
        <f t="shared" si="14"/>
        <v>0.92990331491712674</v>
      </c>
      <c r="AJ23" s="7">
        <f t="shared" si="14"/>
        <v>0.91453729281767937</v>
      </c>
      <c r="AK23" s="7">
        <f t="shared" si="14"/>
        <v>0.90063881215469554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</row>
    <row r="24" spans="1:49" x14ac:dyDescent="0.3">
      <c r="A24" s="2">
        <v>50</v>
      </c>
      <c r="B24">
        <v>3.9790000000000001</v>
      </c>
      <c r="C24">
        <v>2.8940000000000001</v>
      </c>
      <c r="D24">
        <v>2.524</v>
      </c>
      <c r="E24">
        <v>2.34</v>
      </c>
      <c r="F24">
        <v>2.2309999999999999</v>
      </c>
      <c r="G24">
        <v>2.1659999999999999</v>
      </c>
      <c r="H24">
        <v>2.1160000000000001</v>
      </c>
      <c r="I24">
        <v>2.085</v>
      </c>
      <c r="J24">
        <v>2.0630000000000002</v>
      </c>
      <c r="K24">
        <v>2.0430000000000001</v>
      </c>
      <c r="M24">
        <v>24.440999999999999</v>
      </c>
      <c r="O24" s="2">
        <v>50</v>
      </c>
      <c r="P24">
        <v>3.9790000000000001</v>
      </c>
      <c r="Q24">
        <v>2.8940000000000001</v>
      </c>
      <c r="R24">
        <v>2.524</v>
      </c>
      <c r="S24">
        <v>2.34</v>
      </c>
      <c r="T24">
        <v>2.2309999999999999</v>
      </c>
      <c r="U24">
        <v>2.1659999999999999</v>
      </c>
      <c r="V24">
        <v>2.1160000000000001</v>
      </c>
      <c r="W24">
        <v>2.085</v>
      </c>
      <c r="X24">
        <v>2.0630000000000002</v>
      </c>
      <c r="Y24">
        <v>2.0430000000000001</v>
      </c>
      <c r="AA24">
        <v>50</v>
      </c>
      <c r="AB24" s="7">
        <f t="shared" ref="AB24:AK24" si="15">AB7/$AK$12-1</f>
        <v>2.0902106353591154</v>
      </c>
      <c r="AC24" s="7">
        <f t="shared" si="15"/>
        <v>1.2488777624309386</v>
      </c>
      <c r="AD24" s="7">
        <f t="shared" si="15"/>
        <v>0.96063535911602171</v>
      </c>
      <c r="AE24" s="7">
        <f t="shared" si="15"/>
        <v>0.81681629834254132</v>
      </c>
      <c r="AF24" s="7">
        <f t="shared" si="15"/>
        <v>0.7342886740331489</v>
      </c>
      <c r="AG24" s="7">
        <f t="shared" si="15"/>
        <v>0.68257941988950255</v>
      </c>
      <c r="AH24" s="7">
        <f t="shared" si="15"/>
        <v>0.64537292817679548</v>
      </c>
      <c r="AI24" s="7">
        <f t="shared" si="15"/>
        <v>0.62180593922651917</v>
      </c>
      <c r="AJ24" s="7">
        <f t="shared" si="15"/>
        <v>0.60367748618784489</v>
      </c>
      <c r="AK24" s="7">
        <f t="shared" si="15"/>
        <v>0.58865676795580146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</row>
    <row r="25" spans="1:49" x14ac:dyDescent="0.3">
      <c r="A25" s="2">
        <v>60</v>
      </c>
      <c r="B25">
        <v>3.8010000000000002</v>
      </c>
      <c r="C25">
        <v>2.7160000000000002</v>
      </c>
      <c r="D25">
        <v>2.3090000000000002</v>
      </c>
      <c r="E25">
        <v>2.1110000000000002</v>
      </c>
      <c r="F25">
        <v>1.992</v>
      </c>
      <c r="G25">
        <v>1.915</v>
      </c>
      <c r="H25">
        <v>1.865</v>
      </c>
      <c r="I25">
        <v>1.831</v>
      </c>
      <c r="J25">
        <v>1.806</v>
      </c>
      <c r="K25">
        <v>1.7869999999999999</v>
      </c>
      <c r="M25">
        <v>22.132999999999999</v>
      </c>
      <c r="O25" s="2">
        <v>60</v>
      </c>
      <c r="P25">
        <v>3.8010000000000002</v>
      </c>
      <c r="Q25">
        <v>2.7160000000000002</v>
      </c>
      <c r="R25">
        <v>2.3090000000000002</v>
      </c>
      <c r="S25">
        <v>2.1110000000000002</v>
      </c>
      <c r="T25">
        <v>1.992</v>
      </c>
      <c r="U25">
        <v>1.915</v>
      </c>
      <c r="V25">
        <v>1.865</v>
      </c>
      <c r="W25">
        <v>1.831</v>
      </c>
      <c r="X25">
        <v>1.806</v>
      </c>
      <c r="Y25">
        <v>1.7869999999999999</v>
      </c>
      <c r="AA25">
        <v>60</v>
      </c>
      <c r="AB25" s="7">
        <f t="shared" ref="AB25:AK25" si="16">AB8/$AK$12-1</f>
        <v>1.9536429558011048</v>
      </c>
      <c r="AC25" s="7">
        <f t="shared" si="16"/>
        <v>1.1115331491712701</v>
      </c>
      <c r="AD25" s="7">
        <f t="shared" si="16"/>
        <v>0.79506215469613228</v>
      </c>
      <c r="AE25" s="7">
        <f t="shared" si="16"/>
        <v>0.63639502762430911</v>
      </c>
      <c r="AF25" s="7">
        <f t="shared" si="16"/>
        <v>0.54618439226519322</v>
      </c>
      <c r="AG25" s="7">
        <f t="shared" si="16"/>
        <v>0.48791436464088345</v>
      </c>
      <c r="AH25" s="7">
        <f t="shared" si="16"/>
        <v>0.44906767955801086</v>
      </c>
      <c r="AI25" s="7">
        <f t="shared" si="16"/>
        <v>0.42144337016574562</v>
      </c>
      <c r="AJ25" s="7">
        <f t="shared" si="16"/>
        <v>0.40132941988950299</v>
      </c>
      <c r="AK25" s="7">
        <f t="shared" si="16"/>
        <v>0.38587707182320408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</row>
    <row r="26" spans="1:49" x14ac:dyDescent="0.3">
      <c r="A26" s="2">
        <v>70</v>
      </c>
      <c r="B26">
        <v>3.661</v>
      </c>
      <c r="C26">
        <v>2.61</v>
      </c>
      <c r="D26">
        <v>2.173</v>
      </c>
      <c r="E26">
        <v>1.9490000000000001</v>
      </c>
      <c r="F26">
        <v>1.825</v>
      </c>
      <c r="G26">
        <v>1.7430000000000001</v>
      </c>
      <c r="H26">
        <v>1.6890000000000001</v>
      </c>
      <c r="I26">
        <v>1.6539999999999999</v>
      </c>
      <c r="J26">
        <v>1.623</v>
      </c>
      <c r="K26">
        <v>1.599</v>
      </c>
      <c r="M26">
        <v>20.526</v>
      </c>
      <c r="O26" s="2">
        <v>70</v>
      </c>
      <c r="P26">
        <v>3.661</v>
      </c>
      <c r="Q26">
        <v>2.61</v>
      </c>
      <c r="R26">
        <v>2.173</v>
      </c>
      <c r="S26">
        <v>1.9490000000000001</v>
      </c>
      <c r="T26">
        <v>1.825</v>
      </c>
      <c r="U26">
        <v>1.7430000000000001</v>
      </c>
      <c r="V26">
        <v>1.6890000000000001</v>
      </c>
      <c r="W26">
        <v>1.6539999999999999</v>
      </c>
      <c r="X26">
        <v>1.623</v>
      </c>
      <c r="Y26">
        <v>1.599</v>
      </c>
      <c r="AA26">
        <v>70</v>
      </c>
      <c r="AB26" s="7">
        <f t="shared" ref="AB26:AK26" si="17">AB9/$AK$12-1</f>
        <v>1.8451312154696136</v>
      </c>
      <c r="AC26" s="7">
        <f t="shared" si="17"/>
        <v>1.0287465469613259</v>
      </c>
      <c r="AD26" s="7">
        <f t="shared" si="17"/>
        <v>0.68672306629834257</v>
      </c>
      <c r="AE26" s="7">
        <f t="shared" si="17"/>
        <v>0.51588397790055263</v>
      </c>
      <c r="AF26" s="7">
        <f t="shared" si="17"/>
        <v>0.41954419889502703</v>
      </c>
      <c r="AG26" s="7">
        <f t="shared" si="17"/>
        <v>0.35574930939226501</v>
      </c>
      <c r="AH26" s="7">
        <f t="shared" si="17"/>
        <v>0.31319060773480656</v>
      </c>
      <c r="AI26" s="7">
        <f t="shared" si="17"/>
        <v>0.28306284530386727</v>
      </c>
      <c r="AJ26" s="7">
        <f t="shared" si="17"/>
        <v>0.26035911602209949</v>
      </c>
      <c r="AK26" s="7">
        <f t="shared" si="17"/>
        <v>0.24361187845303856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</row>
    <row r="27" spans="1:49" x14ac:dyDescent="0.3">
      <c r="A27" s="2">
        <v>80</v>
      </c>
      <c r="B27">
        <v>3.5449999999999999</v>
      </c>
      <c r="C27">
        <v>2.5249999999999999</v>
      </c>
      <c r="D27">
        <v>2.077</v>
      </c>
      <c r="E27">
        <v>1.841</v>
      </c>
      <c r="F27">
        <v>1.7090000000000001</v>
      </c>
      <c r="G27">
        <v>1.619</v>
      </c>
      <c r="H27">
        <v>1.5640000000000001</v>
      </c>
      <c r="I27">
        <v>1.524</v>
      </c>
      <c r="J27">
        <v>1.4930000000000001</v>
      </c>
      <c r="K27">
        <v>1.468</v>
      </c>
      <c r="M27">
        <v>19.364999999999998</v>
      </c>
      <c r="O27" s="2">
        <v>80</v>
      </c>
      <c r="P27">
        <v>3.5449999999999999</v>
      </c>
      <c r="Q27">
        <v>2.5249999999999999</v>
      </c>
      <c r="R27">
        <v>2.077</v>
      </c>
      <c r="S27">
        <v>1.841</v>
      </c>
      <c r="T27">
        <v>1.7090000000000001</v>
      </c>
      <c r="U27">
        <v>1.619</v>
      </c>
      <c r="V27">
        <v>1.5640000000000001</v>
      </c>
      <c r="W27">
        <v>1.524</v>
      </c>
      <c r="X27">
        <v>1.4930000000000001</v>
      </c>
      <c r="Y27">
        <v>1.468</v>
      </c>
      <c r="AA27">
        <v>80</v>
      </c>
      <c r="AB27" s="7">
        <f t="shared" ref="AB27:AK27" si="18">AB10/$AK$12-1</f>
        <v>1.7520718232044192</v>
      </c>
      <c r="AC27" s="7">
        <f t="shared" si="18"/>
        <v>0.96287983425414336</v>
      </c>
      <c r="AD27" s="7">
        <f t="shared" si="18"/>
        <v>0.61464088397790029</v>
      </c>
      <c r="AE27" s="7">
        <f t="shared" si="18"/>
        <v>0.43085290055248593</v>
      </c>
      <c r="AF27" s="7">
        <f t="shared" si="18"/>
        <v>0.32890193370165721</v>
      </c>
      <c r="AG27" s="7">
        <f t="shared" si="18"/>
        <v>0.25984116022099424</v>
      </c>
      <c r="AH27" s="7">
        <f t="shared" si="18"/>
        <v>0.21564226519337004</v>
      </c>
      <c r="AI27" s="7">
        <f t="shared" si="18"/>
        <v>0.18292472375690583</v>
      </c>
      <c r="AJ27" s="7">
        <f t="shared" si="18"/>
        <v>0.16013466850828739</v>
      </c>
      <c r="AK27" s="7">
        <f t="shared" si="18"/>
        <v>0.14045234806629825</v>
      </c>
      <c r="AN27" s="5"/>
      <c r="AO27" s="5"/>
      <c r="AP27" s="5"/>
      <c r="AQ27" s="5"/>
      <c r="AR27" s="5"/>
      <c r="AS27" s="5"/>
      <c r="AT27" s="5"/>
      <c r="AU27" s="5"/>
      <c r="AV27" s="5"/>
      <c r="AW27" s="5"/>
    </row>
    <row r="28" spans="1:49" x14ac:dyDescent="0.3">
      <c r="A28" s="2">
        <v>90</v>
      </c>
      <c r="B28">
        <v>3.4409999999999998</v>
      </c>
      <c r="C28">
        <v>2.4529999999999998</v>
      </c>
      <c r="D28">
        <v>2.0129999999999999</v>
      </c>
      <c r="E28">
        <v>1.7689999999999999</v>
      </c>
      <c r="F28">
        <v>1.625</v>
      </c>
      <c r="G28">
        <v>1.5329999999999999</v>
      </c>
      <c r="H28">
        <v>1.4710000000000001</v>
      </c>
      <c r="I28">
        <v>1.427</v>
      </c>
      <c r="J28">
        <v>1.3919999999999999</v>
      </c>
      <c r="K28">
        <v>1.365</v>
      </c>
      <c r="M28">
        <v>18.488999999999997</v>
      </c>
      <c r="O28" s="2">
        <v>90</v>
      </c>
      <c r="P28">
        <v>3.4409999999999998</v>
      </c>
      <c r="Q28">
        <v>2.4529999999999998</v>
      </c>
      <c r="R28">
        <v>2.0129999999999999</v>
      </c>
      <c r="S28">
        <v>1.7689999999999999</v>
      </c>
      <c r="T28">
        <v>1.625</v>
      </c>
      <c r="U28">
        <v>1.5329999999999999</v>
      </c>
      <c r="V28">
        <v>1.4710000000000001</v>
      </c>
      <c r="W28">
        <v>1.427</v>
      </c>
      <c r="X28">
        <v>1.3919999999999999</v>
      </c>
      <c r="Y28">
        <v>1.365</v>
      </c>
      <c r="AA28">
        <v>90</v>
      </c>
      <c r="AB28" s="7">
        <f t="shared" ref="AB28:AK28" si="19">AB11/$AK$12-1</f>
        <v>1.6750690607734802</v>
      </c>
      <c r="AC28" s="7">
        <f t="shared" si="19"/>
        <v>0.90624999999999956</v>
      </c>
      <c r="AD28" s="7">
        <f t="shared" si="19"/>
        <v>0.56388121546961312</v>
      </c>
      <c r="AE28" s="7">
        <f t="shared" si="19"/>
        <v>0.37241022099447507</v>
      </c>
      <c r="AF28" s="7">
        <f t="shared" si="19"/>
        <v>0.26398480662983381</v>
      </c>
      <c r="AG28" s="7">
        <f t="shared" si="19"/>
        <v>0.19086671270718214</v>
      </c>
      <c r="AH28" s="7">
        <f t="shared" si="19"/>
        <v>0.14209254143646399</v>
      </c>
      <c r="AI28" s="7">
        <f t="shared" si="19"/>
        <v>0.10851174033149147</v>
      </c>
      <c r="AJ28" s="7">
        <f t="shared" si="19"/>
        <v>8.1405386740331265E-2</v>
      </c>
      <c r="AK28" s="7">
        <f t="shared" si="19"/>
        <v>6.1723066298342344E-2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</row>
    <row r="29" spans="1:49" x14ac:dyDescent="0.3">
      <c r="A29" s="2">
        <v>100</v>
      </c>
      <c r="B29">
        <v>3.411</v>
      </c>
      <c r="C29">
        <v>2.3919999999999999</v>
      </c>
      <c r="D29">
        <v>1.9650000000000001</v>
      </c>
      <c r="E29">
        <v>1.712</v>
      </c>
      <c r="F29">
        <v>1.5669999999999999</v>
      </c>
      <c r="G29">
        <v>1.466</v>
      </c>
      <c r="H29">
        <v>1.399</v>
      </c>
      <c r="I29">
        <v>1.353</v>
      </c>
      <c r="J29">
        <v>1.3140000000000001</v>
      </c>
      <c r="K29">
        <v>1.288</v>
      </c>
      <c r="M29">
        <v>17.867000000000001</v>
      </c>
      <c r="O29" s="2">
        <v>100</v>
      </c>
      <c r="P29">
        <v>3.411</v>
      </c>
      <c r="Q29">
        <v>2.3919999999999999</v>
      </c>
      <c r="R29">
        <v>1.9650000000000001</v>
      </c>
      <c r="S29">
        <v>1.712</v>
      </c>
      <c r="T29">
        <v>1.5669999999999999</v>
      </c>
      <c r="U29">
        <v>1.466</v>
      </c>
      <c r="V29">
        <v>1.399</v>
      </c>
      <c r="W29">
        <v>1.353</v>
      </c>
      <c r="X29">
        <v>1.3140000000000001</v>
      </c>
      <c r="Y29">
        <v>1.288</v>
      </c>
      <c r="AA29">
        <v>100</v>
      </c>
      <c r="AB29" s="7">
        <f t="shared" ref="AB29:AK29" si="20">AB12/$AK$12-1</f>
        <v>1.6495165745856348</v>
      </c>
      <c r="AC29" s="7">
        <f t="shared" si="20"/>
        <v>0.85738950276243031</v>
      </c>
      <c r="AD29" s="7">
        <f t="shared" si="20"/>
        <v>0.5267610497237567</v>
      </c>
      <c r="AE29" s="7">
        <f t="shared" si="20"/>
        <v>0.32976519337016574</v>
      </c>
      <c r="AF29" s="7">
        <f t="shared" si="20"/>
        <v>0.21555593922651894</v>
      </c>
      <c r="AG29" s="7">
        <f t="shared" si="20"/>
        <v>0.13941643646408841</v>
      </c>
      <c r="AH29" s="7">
        <f t="shared" si="20"/>
        <v>8.5808011049723243E-2</v>
      </c>
      <c r="AI29" s="7">
        <f t="shared" si="20"/>
        <v>5.1104972375690449E-2</v>
      </c>
      <c r="AJ29" s="7">
        <f t="shared" si="20"/>
        <v>2.2013121546961223E-2</v>
      </c>
      <c r="AK29" s="7">
        <f t="shared" si="20"/>
        <v>0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</row>
    <row r="30" spans="1:49" x14ac:dyDescent="0.3">
      <c r="A30" s="2" t="s">
        <v>22</v>
      </c>
    </row>
    <row r="31" spans="1:49" x14ac:dyDescent="0.3">
      <c r="A31" s="2" t="s">
        <v>19</v>
      </c>
      <c r="B31">
        <v>46.088000000000008</v>
      </c>
      <c r="C31">
        <v>36.781000000000006</v>
      </c>
      <c r="D31">
        <v>33.24</v>
      </c>
      <c r="E31">
        <v>31.376000000000005</v>
      </c>
      <c r="F31">
        <v>30.306999999999999</v>
      </c>
      <c r="G31">
        <v>29.606000000000002</v>
      </c>
      <c r="H31">
        <v>29.134999999999998</v>
      </c>
      <c r="I31">
        <v>28.825000000000003</v>
      </c>
      <c r="J31">
        <v>28.577999999999999</v>
      </c>
      <c r="K31">
        <v>28.387999999999998</v>
      </c>
      <c r="M31">
        <v>322.32400000000001</v>
      </c>
    </row>
    <row r="33" spans="1:25" x14ac:dyDescent="0.3">
      <c r="A33">
        <v>4</v>
      </c>
    </row>
    <row r="34" spans="1:25" x14ac:dyDescent="0.3">
      <c r="A34" s="1" t="s">
        <v>21</v>
      </c>
      <c r="B34" s="1" t="s">
        <v>20</v>
      </c>
      <c r="O34" s="8" t="s">
        <v>21</v>
      </c>
      <c r="P34" s="8" t="s">
        <v>20</v>
      </c>
      <c r="Q34" s="8"/>
      <c r="R34" s="8"/>
      <c r="S34" s="8"/>
      <c r="T34" s="8"/>
      <c r="U34" s="8"/>
      <c r="V34" s="8"/>
      <c r="W34" s="8"/>
      <c r="X34" s="8"/>
      <c r="Y34" s="8"/>
    </row>
    <row r="35" spans="1:25" x14ac:dyDescent="0.3">
      <c r="A35" s="1" t="s">
        <v>18</v>
      </c>
      <c r="B35">
        <v>10</v>
      </c>
      <c r="C35">
        <v>20</v>
      </c>
      <c r="D35">
        <v>30</v>
      </c>
      <c r="E35">
        <v>40</v>
      </c>
      <c r="F35">
        <v>50</v>
      </c>
      <c r="G35">
        <v>60</v>
      </c>
      <c r="H35">
        <v>70</v>
      </c>
      <c r="I35">
        <v>80</v>
      </c>
      <c r="J35">
        <v>90</v>
      </c>
      <c r="K35">
        <v>100</v>
      </c>
      <c r="L35" t="s">
        <v>22</v>
      </c>
      <c r="M35" t="s">
        <v>19</v>
      </c>
      <c r="O35" s="3" t="s">
        <v>18</v>
      </c>
      <c r="P35" s="3">
        <v>10</v>
      </c>
      <c r="Q35" s="3">
        <v>20</v>
      </c>
      <c r="R35" s="3">
        <v>30</v>
      </c>
      <c r="S35" s="3">
        <v>40</v>
      </c>
      <c r="T35" s="3">
        <v>50</v>
      </c>
      <c r="U35" s="3">
        <v>60</v>
      </c>
      <c r="V35" s="3">
        <v>70</v>
      </c>
      <c r="W35" s="3">
        <v>80</v>
      </c>
      <c r="X35" s="3">
        <v>90</v>
      </c>
      <c r="Y35" s="3">
        <v>100</v>
      </c>
    </row>
    <row r="36" spans="1:25" x14ac:dyDescent="0.3">
      <c r="A36" s="2">
        <v>10</v>
      </c>
      <c r="B36">
        <v>9.6359999999999992</v>
      </c>
      <c r="C36">
        <v>9.1379999999999999</v>
      </c>
      <c r="D36">
        <v>8.9689999999999994</v>
      </c>
      <c r="E36">
        <v>8.8859999999999992</v>
      </c>
      <c r="F36">
        <v>8.8379999999999992</v>
      </c>
      <c r="G36">
        <v>8.8059999999999992</v>
      </c>
      <c r="H36">
        <v>8.7799999999999994</v>
      </c>
      <c r="I36">
        <v>8.7639999999999993</v>
      </c>
      <c r="J36">
        <v>8.7560000000000002</v>
      </c>
      <c r="K36">
        <v>8.7460000000000004</v>
      </c>
      <c r="M36">
        <v>89.319000000000003</v>
      </c>
      <c r="O36" s="2">
        <v>10</v>
      </c>
      <c r="P36">
        <v>9.6359999999999992</v>
      </c>
      <c r="Q36">
        <v>9.1379999999999999</v>
      </c>
      <c r="R36">
        <v>8.9689999999999994</v>
      </c>
      <c r="S36">
        <v>8.8859999999999992</v>
      </c>
      <c r="T36">
        <v>8.8379999999999992</v>
      </c>
      <c r="U36">
        <v>8.8059999999999992</v>
      </c>
      <c r="V36">
        <v>8.7799999999999994</v>
      </c>
      <c r="W36">
        <v>8.7639999999999993</v>
      </c>
      <c r="X36">
        <v>8.7560000000000002</v>
      </c>
      <c r="Y36">
        <v>8.7460000000000004</v>
      </c>
    </row>
    <row r="37" spans="1:25" x14ac:dyDescent="0.3">
      <c r="A37" s="2">
        <v>20</v>
      </c>
      <c r="B37">
        <v>5.7629999999999999</v>
      </c>
      <c r="C37">
        <v>5.0579999999999998</v>
      </c>
      <c r="D37">
        <v>4.8220000000000001</v>
      </c>
      <c r="E37">
        <v>4.7039999999999997</v>
      </c>
      <c r="F37">
        <v>4.6319999999999997</v>
      </c>
      <c r="G37">
        <v>4.5940000000000003</v>
      </c>
      <c r="H37">
        <v>4.5640000000000001</v>
      </c>
      <c r="I37">
        <v>4.54</v>
      </c>
      <c r="J37">
        <v>4.5279999999999996</v>
      </c>
      <c r="K37">
        <v>4.5170000000000003</v>
      </c>
      <c r="M37">
        <v>47.722000000000001</v>
      </c>
      <c r="O37" s="2">
        <v>20</v>
      </c>
      <c r="P37">
        <v>5.7629999999999999</v>
      </c>
      <c r="Q37">
        <v>5.0579999999999998</v>
      </c>
      <c r="R37">
        <v>4.8220000000000001</v>
      </c>
      <c r="S37">
        <v>4.7039999999999997</v>
      </c>
      <c r="T37">
        <v>4.6319999999999997</v>
      </c>
      <c r="U37">
        <v>4.5940000000000003</v>
      </c>
      <c r="V37">
        <v>4.5640000000000001</v>
      </c>
      <c r="W37">
        <v>4.54</v>
      </c>
      <c r="X37">
        <v>4.5279999999999996</v>
      </c>
      <c r="Y37">
        <v>4.5170000000000003</v>
      </c>
    </row>
    <row r="38" spans="1:25" x14ac:dyDescent="0.3">
      <c r="A38" s="2">
        <v>30</v>
      </c>
      <c r="B38">
        <v>4.6500000000000004</v>
      </c>
      <c r="C38">
        <v>3.7930000000000001</v>
      </c>
      <c r="D38">
        <v>3.4990000000000001</v>
      </c>
      <c r="E38">
        <v>3.355</v>
      </c>
      <c r="F38">
        <v>3.2709999999999999</v>
      </c>
      <c r="G38">
        <v>3.222</v>
      </c>
      <c r="H38">
        <v>3.1850000000000001</v>
      </c>
      <c r="I38">
        <v>3.161</v>
      </c>
      <c r="J38">
        <v>3.1419999999999999</v>
      </c>
      <c r="K38">
        <v>3.13</v>
      </c>
      <c r="M38">
        <v>34.408000000000001</v>
      </c>
      <c r="O38" s="2">
        <v>30</v>
      </c>
      <c r="P38">
        <v>4.6500000000000004</v>
      </c>
      <c r="Q38">
        <v>3.7930000000000001</v>
      </c>
      <c r="R38">
        <v>3.4990000000000001</v>
      </c>
      <c r="S38">
        <v>3.355</v>
      </c>
      <c r="T38">
        <v>3.2709999999999999</v>
      </c>
      <c r="U38">
        <v>3.222</v>
      </c>
      <c r="V38">
        <v>3.1850000000000001</v>
      </c>
      <c r="W38">
        <v>3.161</v>
      </c>
      <c r="X38">
        <v>3.1419999999999999</v>
      </c>
      <c r="Y38">
        <v>3.13</v>
      </c>
    </row>
    <row r="39" spans="1:25" x14ac:dyDescent="0.3">
      <c r="A39" s="2">
        <v>40</v>
      </c>
      <c r="B39">
        <v>4.2080000000000002</v>
      </c>
      <c r="C39">
        <v>3.21</v>
      </c>
      <c r="D39">
        <v>2.8740000000000001</v>
      </c>
      <c r="E39">
        <v>2.7069999999999999</v>
      </c>
      <c r="F39">
        <v>2.613</v>
      </c>
      <c r="G39">
        <v>2.5539999999999998</v>
      </c>
      <c r="H39">
        <v>2.5099999999999998</v>
      </c>
      <c r="I39">
        <v>2.4860000000000002</v>
      </c>
      <c r="J39">
        <v>2.4620000000000002</v>
      </c>
      <c r="K39">
        <v>2.4460000000000002</v>
      </c>
      <c r="M39">
        <v>28.069999999999997</v>
      </c>
      <c r="O39" s="2">
        <v>40</v>
      </c>
      <c r="P39">
        <v>4.2080000000000002</v>
      </c>
      <c r="Q39">
        <v>3.21</v>
      </c>
      <c r="R39">
        <v>2.8740000000000001</v>
      </c>
      <c r="S39">
        <v>2.7069999999999999</v>
      </c>
      <c r="T39">
        <v>2.613</v>
      </c>
      <c r="U39">
        <v>2.5539999999999998</v>
      </c>
      <c r="V39">
        <v>2.5099999999999998</v>
      </c>
      <c r="W39">
        <v>2.4860000000000002</v>
      </c>
      <c r="X39">
        <v>2.4620000000000002</v>
      </c>
      <c r="Y39">
        <v>2.4460000000000002</v>
      </c>
    </row>
    <row r="40" spans="1:25" x14ac:dyDescent="0.3">
      <c r="A40" s="2">
        <v>50</v>
      </c>
      <c r="B40">
        <v>3.9780000000000002</v>
      </c>
      <c r="C40">
        <v>2.8919999999999999</v>
      </c>
      <c r="D40">
        <v>2.5209999999999999</v>
      </c>
      <c r="E40">
        <v>2.3410000000000002</v>
      </c>
      <c r="F40">
        <v>2.2349999999999999</v>
      </c>
      <c r="G40">
        <v>2.1669999999999998</v>
      </c>
      <c r="H40">
        <v>2.121</v>
      </c>
      <c r="I40">
        <v>2.0880000000000001</v>
      </c>
      <c r="J40">
        <v>2.0649999999999999</v>
      </c>
      <c r="K40">
        <v>2.0430000000000001</v>
      </c>
      <c r="M40">
        <v>24.451000000000001</v>
      </c>
      <c r="O40" s="2">
        <v>50</v>
      </c>
      <c r="P40">
        <v>3.9780000000000002</v>
      </c>
      <c r="Q40">
        <v>2.8919999999999999</v>
      </c>
      <c r="R40">
        <v>2.5209999999999999</v>
      </c>
      <c r="S40">
        <v>2.3410000000000002</v>
      </c>
      <c r="T40">
        <v>2.2349999999999999</v>
      </c>
      <c r="U40">
        <v>2.1669999999999998</v>
      </c>
      <c r="V40">
        <v>2.121</v>
      </c>
      <c r="W40">
        <v>2.0880000000000001</v>
      </c>
      <c r="X40">
        <v>2.0649999999999999</v>
      </c>
      <c r="Y40">
        <v>2.0430000000000001</v>
      </c>
    </row>
    <row r="41" spans="1:25" x14ac:dyDescent="0.3">
      <c r="A41" s="2">
        <v>60</v>
      </c>
      <c r="B41">
        <v>3.8010000000000002</v>
      </c>
      <c r="C41">
        <v>2.718</v>
      </c>
      <c r="D41">
        <v>2.3109999999999999</v>
      </c>
      <c r="E41">
        <v>2.1080000000000001</v>
      </c>
      <c r="F41">
        <v>1.99</v>
      </c>
      <c r="G41">
        <v>1.9159999999999999</v>
      </c>
      <c r="H41">
        <v>1.8660000000000001</v>
      </c>
      <c r="I41">
        <v>1.8320000000000001</v>
      </c>
      <c r="J41">
        <v>1.806</v>
      </c>
      <c r="K41">
        <v>1.786</v>
      </c>
      <c r="M41">
        <v>22.134000000000004</v>
      </c>
      <c r="O41" s="2">
        <v>60</v>
      </c>
      <c r="P41">
        <v>3.8010000000000002</v>
      </c>
      <c r="Q41">
        <v>2.718</v>
      </c>
      <c r="R41">
        <v>2.3109999999999999</v>
      </c>
      <c r="S41">
        <v>2.1080000000000001</v>
      </c>
      <c r="T41">
        <v>1.99</v>
      </c>
      <c r="U41">
        <v>1.9159999999999999</v>
      </c>
      <c r="V41">
        <v>1.8660000000000001</v>
      </c>
      <c r="W41">
        <v>1.8320000000000001</v>
      </c>
      <c r="X41">
        <v>1.806</v>
      </c>
      <c r="Y41">
        <v>1.786</v>
      </c>
    </row>
    <row r="42" spans="1:25" x14ac:dyDescent="0.3">
      <c r="A42" s="2">
        <v>70</v>
      </c>
      <c r="B42">
        <v>3.661</v>
      </c>
      <c r="C42">
        <v>2.61</v>
      </c>
      <c r="D42">
        <v>2.169</v>
      </c>
      <c r="E42">
        <v>1.9470000000000001</v>
      </c>
      <c r="F42">
        <v>1.825</v>
      </c>
      <c r="G42">
        <v>1.744</v>
      </c>
      <c r="H42">
        <v>1.6890000000000001</v>
      </c>
      <c r="I42">
        <v>1.6519999999999999</v>
      </c>
      <c r="J42">
        <v>1.625</v>
      </c>
      <c r="K42">
        <v>1.599</v>
      </c>
      <c r="M42">
        <v>20.521000000000001</v>
      </c>
      <c r="O42" s="2">
        <v>70</v>
      </c>
      <c r="P42">
        <v>3.661</v>
      </c>
      <c r="Q42">
        <v>2.61</v>
      </c>
      <c r="R42">
        <v>2.169</v>
      </c>
      <c r="S42">
        <v>1.9470000000000001</v>
      </c>
      <c r="T42">
        <v>1.825</v>
      </c>
      <c r="U42">
        <v>1.744</v>
      </c>
      <c r="V42">
        <v>1.6890000000000001</v>
      </c>
      <c r="W42">
        <v>1.6519999999999999</v>
      </c>
      <c r="X42">
        <v>1.625</v>
      </c>
      <c r="Y42">
        <v>1.599</v>
      </c>
    </row>
    <row r="43" spans="1:25" x14ac:dyDescent="0.3">
      <c r="A43" s="2">
        <v>80</v>
      </c>
      <c r="B43">
        <v>3.544</v>
      </c>
      <c r="C43">
        <v>2.528</v>
      </c>
      <c r="D43">
        <v>2.081</v>
      </c>
      <c r="E43">
        <v>1.841</v>
      </c>
      <c r="F43">
        <v>1.7090000000000001</v>
      </c>
      <c r="G43">
        <v>1.621</v>
      </c>
      <c r="H43">
        <v>1.5640000000000001</v>
      </c>
      <c r="I43">
        <v>1.5209999999999999</v>
      </c>
      <c r="J43">
        <v>1.4930000000000001</v>
      </c>
      <c r="K43">
        <v>1.466</v>
      </c>
      <c r="M43">
        <v>19.367999999999999</v>
      </c>
      <c r="O43" s="2">
        <v>80</v>
      </c>
      <c r="P43">
        <v>3.544</v>
      </c>
      <c r="Q43">
        <v>2.528</v>
      </c>
      <c r="R43">
        <v>2.081</v>
      </c>
      <c r="S43">
        <v>1.841</v>
      </c>
      <c r="T43">
        <v>1.7090000000000001</v>
      </c>
      <c r="U43">
        <v>1.621</v>
      </c>
      <c r="V43">
        <v>1.5640000000000001</v>
      </c>
      <c r="W43">
        <v>1.5209999999999999</v>
      </c>
      <c r="X43">
        <v>1.4930000000000001</v>
      </c>
      <c r="Y43">
        <v>1.466</v>
      </c>
    </row>
    <row r="44" spans="1:25" x14ac:dyDescent="0.3">
      <c r="A44" s="2">
        <v>90</v>
      </c>
      <c r="B44">
        <v>3.4409999999999998</v>
      </c>
      <c r="C44">
        <v>2.4550000000000001</v>
      </c>
      <c r="D44">
        <v>2.0129999999999999</v>
      </c>
      <c r="E44">
        <v>1.766</v>
      </c>
      <c r="F44">
        <v>1.625</v>
      </c>
      <c r="G44">
        <v>1.5329999999999999</v>
      </c>
      <c r="H44">
        <v>1.4690000000000001</v>
      </c>
      <c r="I44">
        <v>1.425</v>
      </c>
      <c r="J44">
        <v>1.3919999999999999</v>
      </c>
      <c r="K44">
        <v>1.367</v>
      </c>
      <c r="M44">
        <v>18.486000000000001</v>
      </c>
      <c r="O44" s="2">
        <v>90</v>
      </c>
      <c r="P44">
        <v>3.4409999999999998</v>
      </c>
      <c r="Q44">
        <v>2.4550000000000001</v>
      </c>
      <c r="R44">
        <v>2.0129999999999999</v>
      </c>
      <c r="S44">
        <v>1.766</v>
      </c>
      <c r="T44">
        <v>1.625</v>
      </c>
      <c r="U44">
        <v>1.5329999999999999</v>
      </c>
      <c r="V44">
        <v>1.4690000000000001</v>
      </c>
      <c r="W44">
        <v>1.425</v>
      </c>
      <c r="X44">
        <v>1.3919999999999999</v>
      </c>
      <c r="Y44">
        <v>1.367</v>
      </c>
    </row>
    <row r="45" spans="1:25" x14ac:dyDescent="0.3">
      <c r="A45" s="2">
        <v>100</v>
      </c>
      <c r="B45">
        <v>3.4129999999999998</v>
      </c>
      <c r="C45">
        <v>2.39</v>
      </c>
      <c r="D45">
        <v>1.966</v>
      </c>
      <c r="E45">
        <v>1.7150000000000001</v>
      </c>
      <c r="F45">
        <v>1.5649999999999999</v>
      </c>
      <c r="G45">
        <v>1.4670000000000001</v>
      </c>
      <c r="H45">
        <v>1.395</v>
      </c>
      <c r="I45">
        <v>1.353</v>
      </c>
      <c r="J45">
        <v>1.3169999999999999</v>
      </c>
      <c r="K45">
        <v>1.288</v>
      </c>
      <c r="M45">
        <v>17.869</v>
      </c>
      <c r="O45" s="2">
        <v>100</v>
      </c>
      <c r="P45">
        <v>3.4129999999999998</v>
      </c>
      <c r="Q45">
        <v>2.39</v>
      </c>
      <c r="R45">
        <v>1.966</v>
      </c>
      <c r="S45">
        <v>1.7150000000000001</v>
      </c>
      <c r="T45">
        <v>1.5649999999999999</v>
      </c>
      <c r="U45">
        <v>1.4670000000000001</v>
      </c>
      <c r="V45">
        <v>1.395</v>
      </c>
      <c r="W45">
        <v>1.353</v>
      </c>
      <c r="X45">
        <v>1.3169999999999999</v>
      </c>
      <c r="Y45">
        <v>1.288</v>
      </c>
    </row>
    <row r="46" spans="1:25" x14ac:dyDescent="0.3">
      <c r="A46" s="2" t="s">
        <v>22</v>
      </c>
    </row>
    <row r="47" spans="1:25" x14ac:dyDescent="0.3">
      <c r="A47" s="2" t="s">
        <v>19</v>
      </c>
      <c r="B47">
        <v>46.094999999999999</v>
      </c>
      <c r="C47">
        <v>36.792000000000002</v>
      </c>
      <c r="D47">
        <v>33.225000000000001</v>
      </c>
      <c r="E47">
        <v>31.37</v>
      </c>
      <c r="F47">
        <v>30.302999999999997</v>
      </c>
      <c r="G47">
        <v>29.623999999999995</v>
      </c>
      <c r="H47">
        <v>29.143000000000001</v>
      </c>
      <c r="I47">
        <v>28.822000000000006</v>
      </c>
      <c r="J47">
        <v>28.585999999999999</v>
      </c>
      <c r="K47">
        <v>28.388000000000005</v>
      </c>
      <c r="M47">
        <v>322.34799999999996</v>
      </c>
    </row>
    <row r="49" spans="1:25" x14ac:dyDescent="0.3">
      <c r="A49">
        <v>5</v>
      </c>
    </row>
    <row r="50" spans="1:25" x14ac:dyDescent="0.3">
      <c r="A50" s="1" t="s">
        <v>21</v>
      </c>
      <c r="B50" s="1" t="s">
        <v>20</v>
      </c>
      <c r="O50" s="8" t="s">
        <v>21</v>
      </c>
      <c r="P50" s="8" t="s">
        <v>20</v>
      </c>
      <c r="Q50" s="8"/>
      <c r="R50" s="8"/>
      <c r="S50" s="8"/>
      <c r="T50" s="8"/>
      <c r="U50" s="8"/>
      <c r="V50" s="8"/>
      <c r="W50" s="8"/>
      <c r="X50" s="8"/>
      <c r="Y50" s="8"/>
    </row>
    <row r="51" spans="1:25" x14ac:dyDescent="0.3">
      <c r="A51" s="1" t="s">
        <v>18</v>
      </c>
      <c r="B51">
        <v>10</v>
      </c>
      <c r="C51">
        <v>20</v>
      </c>
      <c r="D51">
        <v>30</v>
      </c>
      <c r="E51">
        <v>40</v>
      </c>
      <c r="F51">
        <v>50</v>
      </c>
      <c r="G51">
        <v>60</v>
      </c>
      <c r="H51">
        <v>70</v>
      </c>
      <c r="I51">
        <v>80</v>
      </c>
      <c r="J51">
        <v>90</v>
      </c>
      <c r="K51">
        <v>100</v>
      </c>
      <c r="L51" t="s">
        <v>22</v>
      </c>
      <c r="M51" t="s">
        <v>19</v>
      </c>
      <c r="O51" s="3" t="s">
        <v>18</v>
      </c>
      <c r="P51" s="3">
        <v>10</v>
      </c>
      <c r="Q51" s="3">
        <v>20</v>
      </c>
      <c r="R51" s="3">
        <v>30</v>
      </c>
      <c r="S51" s="3">
        <v>40</v>
      </c>
      <c r="T51" s="3">
        <v>50</v>
      </c>
      <c r="U51" s="3">
        <v>60</v>
      </c>
      <c r="V51" s="3">
        <v>70</v>
      </c>
      <c r="W51" s="3">
        <v>80</v>
      </c>
      <c r="X51" s="3">
        <v>90</v>
      </c>
      <c r="Y51" s="3">
        <v>100</v>
      </c>
    </row>
    <row r="52" spans="1:25" x14ac:dyDescent="0.3">
      <c r="A52" s="2">
        <v>10</v>
      </c>
      <c r="B52">
        <v>9.6340000000000003</v>
      </c>
      <c r="C52">
        <v>9.1370000000000005</v>
      </c>
      <c r="D52">
        <v>8.968</v>
      </c>
      <c r="E52">
        <v>8.8840000000000003</v>
      </c>
      <c r="F52">
        <v>8.8379999999999992</v>
      </c>
      <c r="G52">
        <v>8.8019999999999996</v>
      </c>
      <c r="H52">
        <v>8.7829999999999995</v>
      </c>
      <c r="I52">
        <v>8.7750000000000004</v>
      </c>
      <c r="J52">
        <v>8.7569999999999997</v>
      </c>
      <c r="K52">
        <v>8.7469999999999999</v>
      </c>
      <c r="M52">
        <v>89.325000000000017</v>
      </c>
      <c r="O52" s="2">
        <v>10</v>
      </c>
      <c r="P52">
        <v>9.6340000000000003</v>
      </c>
      <c r="Q52">
        <v>9.1370000000000005</v>
      </c>
      <c r="R52">
        <v>8.968</v>
      </c>
      <c r="S52">
        <v>8.8840000000000003</v>
      </c>
      <c r="T52">
        <v>8.8379999999999992</v>
      </c>
      <c r="U52">
        <v>8.8019999999999996</v>
      </c>
      <c r="V52">
        <v>8.7829999999999995</v>
      </c>
      <c r="W52">
        <v>8.7750000000000004</v>
      </c>
      <c r="X52">
        <v>8.7569999999999997</v>
      </c>
      <c r="Y52">
        <v>8.7469999999999999</v>
      </c>
    </row>
    <row r="53" spans="1:25" x14ac:dyDescent="0.3">
      <c r="A53" s="2">
        <v>20</v>
      </c>
      <c r="B53">
        <v>5.766</v>
      </c>
      <c r="C53">
        <v>5.0599999999999996</v>
      </c>
      <c r="D53">
        <v>4.8220000000000001</v>
      </c>
      <c r="E53">
        <v>4.7039999999999997</v>
      </c>
      <c r="F53">
        <v>4.6349999999999998</v>
      </c>
      <c r="G53">
        <v>4.5919999999999996</v>
      </c>
      <c r="H53">
        <v>4.5620000000000003</v>
      </c>
      <c r="I53">
        <v>4.54</v>
      </c>
      <c r="J53">
        <v>4.5289999999999999</v>
      </c>
      <c r="K53">
        <v>4.516</v>
      </c>
      <c r="M53">
        <v>47.725999999999992</v>
      </c>
      <c r="O53" s="2">
        <v>20</v>
      </c>
      <c r="P53">
        <v>5.766</v>
      </c>
      <c r="Q53">
        <v>5.0599999999999996</v>
      </c>
      <c r="R53">
        <v>4.8220000000000001</v>
      </c>
      <c r="S53">
        <v>4.7039999999999997</v>
      </c>
      <c r="T53">
        <v>4.6349999999999998</v>
      </c>
      <c r="U53">
        <v>4.5919999999999996</v>
      </c>
      <c r="V53">
        <v>4.5620000000000003</v>
      </c>
      <c r="W53">
        <v>4.54</v>
      </c>
      <c r="X53">
        <v>4.5289999999999999</v>
      </c>
      <c r="Y53">
        <v>4.516</v>
      </c>
    </row>
    <row r="54" spans="1:25" x14ac:dyDescent="0.3">
      <c r="A54" s="2">
        <v>30</v>
      </c>
      <c r="B54">
        <v>4.6500000000000004</v>
      </c>
      <c r="C54">
        <v>3.7850000000000001</v>
      </c>
      <c r="D54">
        <v>3.4980000000000002</v>
      </c>
      <c r="E54">
        <v>3.3559999999999999</v>
      </c>
      <c r="F54">
        <v>3.2719999999999998</v>
      </c>
      <c r="G54">
        <v>3.2229999999999999</v>
      </c>
      <c r="H54">
        <v>3.1850000000000001</v>
      </c>
      <c r="I54">
        <v>3.16</v>
      </c>
      <c r="J54">
        <v>3.141</v>
      </c>
      <c r="K54">
        <v>3.13</v>
      </c>
      <c r="M54">
        <v>34.4</v>
      </c>
      <c r="O54" s="2">
        <v>30</v>
      </c>
      <c r="P54">
        <v>4.6500000000000004</v>
      </c>
      <c r="Q54">
        <v>3.7850000000000001</v>
      </c>
      <c r="R54">
        <v>3.4980000000000002</v>
      </c>
      <c r="S54">
        <v>3.3559999999999999</v>
      </c>
      <c r="T54">
        <v>3.2719999999999998</v>
      </c>
      <c r="U54">
        <v>3.2229999999999999</v>
      </c>
      <c r="V54">
        <v>3.1850000000000001</v>
      </c>
      <c r="W54">
        <v>3.16</v>
      </c>
      <c r="X54">
        <v>3.141</v>
      </c>
      <c r="Y54">
        <v>3.13</v>
      </c>
    </row>
    <row r="55" spans="1:25" x14ac:dyDescent="0.3">
      <c r="A55" s="2">
        <v>40</v>
      </c>
      <c r="B55">
        <v>4.2050000000000001</v>
      </c>
      <c r="C55">
        <v>3.2069999999999999</v>
      </c>
      <c r="D55">
        <v>2.8769999999999998</v>
      </c>
      <c r="E55">
        <v>2.7090000000000001</v>
      </c>
      <c r="F55">
        <v>2.6120000000000001</v>
      </c>
      <c r="G55">
        <v>2.552</v>
      </c>
      <c r="H55">
        <v>2.5110000000000001</v>
      </c>
      <c r="I55">
        <v>2.484</v>
      </c>
      <c r="J55">
        <v>2.4670000000000001</v>
      </c>
      <c r="K55">
        <v>2.444</v>
      </c>
      <c r="M55">
        <v>28.067999999999994</v>
      </c>
      <c r="O55" s="2">
        <v>40</v>
      </c>
      <c r="P55">
        <v>4.2050000000000001</v>
      </c>
      <c r="Q55">
        <v>3.2069999999999999</v>
      </c>
      <c r="R55">
        <v>2.8769999999999998</v>
      </c>
      <c r="S55">
        <v>2.7090000000000001</v>
      </c>
      <c r="T55">
        <v>2.6120000000000001</v>
      </c>
      <c r="U55">
        <v>2.552</v>
      </c>
      <c r="V55">
        <v>2.5110000000000001</v>
      </c>
      <c r="W55">
        <v>2.484</v>
      </c>
      <c r="X55">
        <v>2.4670000000000001</v>
      </c>
      <c r="Y55">
        <v>2.444</v>
      </c>
    </row>
    <row r="56" spans="1:25" x14ac:dyDescent="0.3">
      <c r="A56" s="2">
        <v>50</v>
      </c>
      <c r="B56">
        <v>3.9769999999999999</v>
      </c>
      <c r="C56">
        <v>2.8919999999999999</v>
      </c>
      <c r="D56">
        <v>2.5219999999999998</v>
      </c>
      <c r="E56">
        <v>2.3370000000000002</v>
      </c>
      <c r="F56">
        <v>2.2370000000000001</v>
      </c>
      <c r="G56">
        <v>2.1659999999999999</v>
      </c>
      <c r="H56">
        <v>2.117</v>
      </c>
      <c r="I56">
        <v>2.0870000000000002</v>
      </c>
      <c r="J56">
        <v>2.0649999999999999</v>
      </c>
      <c r="K56">
        <v>2.0470000000000002</v>
      </c>
      <c r="M56">
        <v>24.447000000000003</v>
      </c>
      <c r="O56" s="2">
        <v>50</v>
      </c>
      <c r="P56">
        <v>3.9769999999999999</v>
      </c>
      <c r="Q56">
        <v>2.8919999999999999</v>
      </c>
      <c r="R56">
        <v>2.5219999999999998</v>
      </c>
      <c r="S56">
        <v>2.3370000000000002</v>
      </c>
      <c r="T56">
        <v>2.2370000000000001</v>
      </c>
      <c r="U56">
        <v>2.1659999999999999</v>
      </c>
      <c r="V56">
        <v>2.117</v>
      </c>
      <c r="W56">
        <v>2.0870000000000002</v>
      </c>
      <c r="X56">
        <v>2.0649999999999999</v>
      </c>
      <c r="Y56">
        <v>2.0470000000000002</v>
      </c>
    </row>
    <row r="57" spans="1:25" x14ac:dyDescent="0.3">
      <c r="A57" s="2">
        <v>60</v>
      </c>
      <c r="B57">
        <v>3.8029999999999999</v>
      </c>
      <c r="C57">
        <v>2.718</v>
      </c>
      <c r="D57">
        <v>2.31</v>
      </c>
      <c r="E57">
        <v>2.105</v>
      </c>
      <c r="F57">
        <v>1.9890000000000001</v>
      </c>
      <c r="G57">
        <v>1.915</v>
      </c>
      <c r="H57">
        <v>1.865</v>
      </c>
      <c r="I57">
        <v>1.829</v>
      </c>
      <c r="J57">
        <v>1.8029999999999999</v>
      </c>
      <c r="K57">
        <v>1.7829999999999999</v>
      </c>
      <c r="M57">
        <v>22.12</v>
      </c>
      <c r="O57" s="2">
        <v>60</v>
      </c>
      <c r="P57">
        <v>3.8029999999999999</v>
      </c>
      <c r="Q57">
        <v>2.718</v>
      </c>
      <c r="R57">
        <v>2.31</v>
      </c>
      <c r="S57">
        <v>2.105</v>
      </c>
      <c r="T57">
        <v>1.9890000000000001</v>
      </c>
      <c r="U57">
        <v>1.915</v>
      </c>
      <c r="V57">
        <v>1.865</v>
      </c>
      <c r="W57">
        <v>1.829</v>
      </c>
      <c r="X57">
        <v>1.8029999999999999</v>
      </c>
      <c r="Y57">
        <v>1.7829999999999999</v>
      </c>
    </row>
    <row r="58" spans="1:25" x14ac:dyDescent="0.3">
      <c r="A58" s="2">
        <v>70</v>
      </c>
      <c r="B58">
        <v>3.6629999999999998</v>
      </c>
      <c r="C58">
        <v>2.61</v>
      </c>
      <c r="D58">
        <v>2.17</v>
      </c>
      <c r="E58">
        <v>1.954</v>
      </c>
      <c r="F58">
        <v>1.83</v>
      </c>
      <c r="G58">
        <v>1.748</v>
      </c>
      <c r="H58">
        <v>1.6890000000000001</v>
      </c>
      <c r="I58">
        <v>1.651</v>
      </c>
      <c r="J58">
        <v>1.623</v>
      </c>
      <c r="K58">
        <v>1.597</v>
      </c>
      <c r="M58">
        <v>20.535000000000004</v>
      </c>
      <c r="O58" s="2">
        <v>70</v>
      </c>
      <c r="P58">
        <v>3.6629999999999998</v>
      </c>
      <c r="Q58">
        <v>2.61</v>
      </c>
      <c r="R58">
        <v>2.17</v>
      </c>
      <c r="S58">
        <v>1.954</v>
      </c>
      <c r="T58">
        <v>1.83</v>
      </c>
      <c r="U58">
        <v>1.748</v>
      </c>
      <c r="V58">
        <v>1.6890000000000001</v>
      </c>
      <c r="W58">
        <v>1.651</v>
      </c>
      <c r="X58">
        <v>1.623</v>
      </c>
      <c r="Y58">
        <v>1.597</v>
      </c>
    </row>
    <row r="59" spans="1:25" x14ac:dyDescent="0.3">
      <c r="A59" s="2">
        <v>80</v>
      </c>
      <c r="B59">
        <v>3.5409999999999999</v>
      </c>
      <c r="C59">
        <v>2.528</v>
      </c>
      <c r="D59">
        <v>2.0779999999999998</v>
      </c>
      <c r="E59">
        <v>1.841</v>
      </c>
      <c r="F59">
        <v>1.712</v>
      </c>
      <c r="G59">
        <v>1.6259999999999999</v>
      </c>
      <c r="H59">
        <v>1.5649999999999999</v>
      </c>
      <c r="I59">
        <v>1.522</v>
      </c>
      <c r="J59">
        <v>1.4910000000000001</v>
      </c>
      <c r="K59">
        <v>1.4670000000000001</v>
      </c>
      <c r="M59">
        <v>19.370999999999995</v>
      </c>
      <c r="O59" s="2">
        <v>80</v>
      </c>
      <c r="P59">
        <v>3.5409999999999999</v>
      </c>
      <c r="Q59">
        <v>2.528</v>
      </c>
      <c r="R59">
        <v>2.0779999999999998</v>
      </c>
      <c r="S59">
        <v>1.841</v>
      </c>
      <c r="T59">
        <v>1.712</v>
      </c>
      <c r="U59">
        <v>1.6259999999999999</v>
      </c>
      <c r="V59">
        <v>1.5649999999999999</v>
      </c>
      <c r="W59">
        <v>1.522</v>
      </c>
      <c r="X59">
        <v>1.4910000000000001</v>
      </c>
      <c r="Y59">
        <v>1.4670000000000001</v>
      </c>
    </row>
    <row r="60" spans="1:25" x14ac:dyDescent="0.3">
      <c r="A60" s="2">
        <v>90</v>
      </c>
      <c r="B60">
        <v>3.4430000000000001</v>
      </c>
      <c r="C60">
        <v>2.4540000000000002</v>
      </c>
      <c r="D60">
        <v>2.0129999999999999</v>
      </c>
      <c r="E60">
        <v>1.768</v>
      </c>
      <c r="F60">
        <v>1.629</v>
      </c>
      <c r="G60">
        <v>1.5309999999999999</v>
      </c>
      <c r="H60">
        <v>1.4710000000000001</v>
      </c>
      <c r="I60">
        <v>1.425</v>
      </c>
      <c r="J60">
        <v>1.395</v>
      </c>
      <c r="K60">
        <v>1.369</v>
      </c>
      <c r="M60">
        <v>18.498000000000001</v>
      </c>
      <c r="O60" s="2">
        <v>90</v>
      </c>
      <c r="P60">
        <v>3.4430000000000001</v>
      </c>
      <c r="Q60">
        <v>2.4540000000000002</v>
      </c>
      <c r="R60">
        <v>2.0129999999999999</v>
      </c>
      <c r="S60">
        <v>1.768</v>
      </c>
      <c r="T60">
        <v>1.629</v>
      </c>
      <c r="U60">
        <v>1.5309999999999999</v>
      </c>
      <c r="V60">
        <v>1.4710000000000001</v>
      </c>
      <c r="W60">
        <v>1.425</v>
      </c>
      <c r="X60">
        <v>1.395</v>
      </c>
      <c r="Y60">
        <v>1.369</v>
      </c>
    </row>
    <row r="61" spans="1:25" x14ac:dyDescent="0.3">
      <c r="A61" s="2">
        <v>100</v>
      </c>
      <c r="B61">
        <v>3.41</v>
      </c>
      <c r="C61">
        <v>2.3929999999999998</v>
      </c>
      <c r="D61">
        <v>1.9650000000000001</v>
      </c>
      <c r="E61">
        <v>1.7110000000000001</v>
      </c>
      <c r="F61">
        <v>1.5649999999999999</v>
      </c>
      <c r="G61">
        <v>1.4670000000000001</v>
      </c>
      <c r="H61">
        <v>1.3979999999999999</v>
      </c>
      <c r="I61">
        <v>1.3540000000000001</v>
      </c>
      <c r="J61">
        <v>1.3160000000000001</v>
      </c>
      <c r="K61">
        <v>1.2849999999999999</v>
      </c>
      <c r="M61">
        <v>17.863999999999997</v>
      </c>
      <c r="O61" s="2">
        <v>100</v>
      </c>
      <c r="P61">
        <v>3.41</v>
      </c>
      <c r="Q61">
        <v>2.3929999999999998</v>
      </c>
      <c r="R61">
        <v>1.9650000000000001</v>
      </c>
      <c r="S61">
        <v>1.7110000000000001</v>
      </c>
      <c r="T61">
        <v>1.5649999999999999</v>
      </c>
      <c r="U61">
        <v>1.4670000000000001</v>
      </c>
      <c r="V61">
        <v>1.3979999999999999</v>
      </c>
      <c r="W61">
        <v>1.3540000000000001</v>
      </c>
      <c r="X61">
        <v>1.3160000000000001</v>
      </c>
      <c r="Y61">
        <v>1.2849999999999999</v>
      </c>
    </row>
    <row r="62" spans="1:25" x14ac:dyDescent="0.3">
      <c r="A62" s="2" t="s">
        <v>22</v>
      </c>
    </row>
    <row r="63" spans="1:25" x14ac:dyDescent="0.3">
      <c r="A63" s="2" t="s">
        <v>19</v>
      </c>
      <c r="B63">
        <v>46.091999999999999</v>
      </c>
      <c r="C63">
        <v>36.783999999999999</v>
      </c>
      <c r="D63">
        <v>33.222999999999999</v>
      </c>
      <c r="E63">
        <v>31.369000000000003</v>
      </c>
      <c r="F63">
        <v>30.319000000000006</v>
      </c>
      <c r="G63">
        <v>29.621999999999996</v>
      </c>
      <c r="H63">
        <v>29.145999999999997</v>
      </c>
      <c r="I63">
        <v>28.827000000000002</v>
      </c>
      <c r="J63">
        <v>28.587</v>
      </c>
      <c r="K63">
        <v>28.385000000000002</v>
      </c>
      <c r="M63">
        <v>322.35399999999998</v>
      </c>
    </row>
    <row r="65" spans="1:25" x14ac:dyDescent="0.3">
      <c r="A65">
        <v>6</v>
      </c>
    </row>
    <row r="66" spans="1:25" x14ac:dyDescent="0.3">
      <c r="A66" s="1" t="s">
        <v>21</v>
      </c>
      <c r="B66" s="1" t="s">
        <v>20</v>
      </c>
      <c r="O66" s="8" t="s">
        <v>21</v>
      </c>
      <c r="P66" s="8" t="s">
        <v>20</v>
      </c>
      <c r="Q66" s="8"/>
      <c r="R66" s="8"/>
      <c r="S66" s="8"/>
      <c r="T66" s="8"/>
      <c r="U66" s="8"/>
      <c r="V66" s="8"/>
      <c r="W66" s="8"/>
      <c r="X66" s="8"/>
      <c r="Y66" s="8"/>
    </row>
    <row r="67" spans="1:25" x14ac:dyDescent="0.3">
      <c r="A67" s="1" t="s">
        <v>18</v>
      </c>
      <c r="B67">
        <v>10</v>
      </c>
      <c r="C67">
        <v>20</v>
      </c>
      <c r="D67">
        <v>30</v>
      </c>
      <c r="E67">
        <v>40</v>
      </c>
      <c r="F67">
        <v>50</v>
      </c>
      <c r="G67">
        <v>60</v>
      </c>
      <c r="H67">
        <v>70</v>
      </c>
      <c r="I67">
        <v>80</v>
      </c>
      <c r="J67">
        <v>90</v>
      </c>
      <c r="K67">
        <v>100</v>
      </c>
      <c r="L67" t="s">
        <v>22</v>
      </c>
      <c r="M67" t="s">
        <v>19</v>
      </c>
      <c r="O67" s="3" t="s">
        <v>18</v>
      </c>
      <c r="P67" s="3">
        <v>10</v>
      </c>
      <c r="Q67" s="3">
        <v>20</v>
      </c>
      <c r="R67" s="3">
        <v>30</v>
      </c>
      <c r="S67" s="3">
        <v>40</v>
      </c>
      <c r="T67" s="3">
        <v>50</v>
      </c>
      <c r="U67" s="3">
        <v>60</v>
      </c>
      <c r="V67" s="3">
        <v>70</v>
      </c>
      <c r="W67" s="3">
        <v>80</v>
      </c>
      <c r="X67" s="3">
        <v>90</v>
      </c>
      <c r="Y67" s="3">
        <v>100</v>
      </c>
    </row>
    <row r="68" spans="1:25" x14ac:dyDescent="0.3">
      <c r="A68" s="2">
        <v>10</v>
      </c>
      <c r="B68">
        <v>9.6359999999999992</v>
      </c>
      <c r="C68">
        <v>9.1379999999999999</v>
      </c>
      <c r="D68">
        <v>8.9700000000000006</v>
      </c>
      <c r="E68">
        <v>8.8870000000000005</v>
      </c>
      <c r="F68">
        <v>8.8369999999999997</v>
      </c>
      <c r="G68">
        <v>8.8000000000000007</v>
      </c>
      <c r="H68">
        <v>8.7799999999999994</v>
      </c>
      <c r="I68">
        <v>8.766</v>
      </c>
      <c r="J68">
        <v>8.7539999999999996</v>
      </c>
      <c r="K68">
        <v>8.7460000000000004</v>
      </c>
      <c r="M68">
        <v>89.314000000000007</v>
      </c>
      <c r="O68" s="2">
        <v>10</v>
      </c>
      <c r="P68">
        <v>9.6359999999999992</v>
      </c>
      <c r="Q68">
        <v>9.1379999999999999</v>
      </c>
      <c r="R68">
        <v>8.9700000000000006</v>
      </c>
      <c r="S68">
        <v>8.8870000000000005</v>
      </c>
      <c r="T68">
        <v>8.8369999999999997</v>
      </c>
      <c r="U68">
        <v>8.8000000000000007</v>
      </c>
      <c r="V68">
        <v>8.7799999999999994</v>
      </c>
      <c r="W68">
        <v>8.766</v>
      </c>
      <c r="X68">
        <v>8.7539999999999996</v>
      </c>
      <c r="Y68">
        <v>8.7460000000000004</v>
      </c>
    </row>
    <row r="69" spans="1:25" x14ac:dyDescent="0.3">
      <c r="A69" s="2">
        <v>20</v>
      </c>
      <c r="B69">
        <v>5.7610000000000001</v>
      </c>
      <c r="C69">
        <v>5.0599999999999996</v>
      </c>
      <c r="D69">
        <v>4.8220000000000001</v>
      </c>
      <c r="E69">
        <v>4.7039999999999997</v>
      </c>
      <c r="F69">
        <v>4.6319999999999997</v>
      </c>
      <c r="G69">
        <v>4.593</v>
      </c>
      <c r="H69">
        <v>4.5620000000000003</v>
      </c>
      <c r="I69">
        <v>4.54</v>
      </c>
      <c r="J69">
        <v>4.5279999999999996</v>
      </c>
      <c r="K69">
        <v>4.5170000000000003</v>
      </c>
      <c r="M69">
        <v>47.719000000000001</v>
      </c>
      <c r="O69" s="2">
        <v>20</v>
      </c>
      <c r="P69">
        <v>5.7610000000000001</v>
      </c>
      <c r="Q69">
        <v>5.0599999999999996</v>
      </c>
      <c r="R69">
        <v>4.8220000000000001</v>
      </c>
      <c r="S69">
        <v>4.7039999999999997</v>
      </c>
      <c r="T69">
        <v>4.6319999999999997</v>
      </c>
      <c r="U69">
        <v>4.593</v>
      </c>
      <c r="V69">
        <v>4.5620000000000003</v>
      </c>
      <c r="W69">
        <v>4.54</v>
      </c>
      <c r="X69">
        <v>4.5279999999999996</v>
      </c>
      <c r="Y69">
        <v>4.5170000000000003</v>
      </c>
    </row>
    <row r="70" spans="1:25" x14ac:dyDescent="0.3">
      <c r="A70" s="2">
        <v>30</v>
      </c>
      <c r="B70">
        <v>4.6509999999999998</v>
      </c>
      <c r="C70">
        <v>3.7850000000000001</v>
      </c>
      <c r="D70">
        <v>3.4969999999999999</v>
      </c>
      <c r="E70">
        <v>3.3540000000000001</v>
      </c>
      <c r="F70">
        <v>3.2690000000000001</v>
      </c>
      <c r="G70">
        <v>3.22</v>
      </c>
      <c r="H70">
        <v>3.1840000000000002</v>
      </c>
      <c r="I70">
        <v>3.1629999999999998</v>
      </c>
      <c r="J70">
        <v>3.1429999999999998</v>
      </c>
      <c r="K70">
        <v>3.1320000000000001</v>
      </c>
      <c r="M70">
        <v>34.397999999999996</v>
      </c>
      <c r="O70" s="2">
        <v>30</v>
      </c>
      <c r="P70">
        <v>4.6509999999999998</v>
      </c>
      <c r="Q70">
        <v>3.7850000000000001</v>
      </c>
      <c r="R70">
        <v>3.4969999999999999</v>
      </c>
      <c r="S70">
        <v>3.3540000000000001</v>
      </c>
      <c r="T70">
        <v>3.2690000000000001</v>
      </c>
      <c r="U70">
        <v>3.22</v>
      </c>
      <c r="V70">
        <v>3.1840000000000002</v>
      </c>
      <c r="W70">
        <v>3.1629999999999998</v>
      </c>
      <c r="X70">
        <v>3.1429999999999998</v>
      </c>
      <c r="Y70">
        <v>3.1320000000000001</v>
      </c>
    </row>
    <row r="71" spans="1:25" x14ac:dyDescent="0.3">
      <c r="A71" s="2">
        <v>40</v>
      </c>
      <c r="B71">
        <v>4.2130000000000001</v>
      </c>
      <c r="C71">
        <v>3.2090000000000001</v>
      </c>
      <c r="D71">
        <v>2.8759999999999999</v>
      </c>
      <c r="E71">
        <v>2.7050000000000001</v>
      </c>
      <c r="F71">
        <v>2.6120000000000001</v>
      </c>
      <c r="G71">
        <v>2.5499999999999998</v>
      </c>
      <c r="H71">
        <v>2.5099999999999998</v>
      </c>
      <c r="I71">
        <v>2.4820000000000002</v>
      </c>
      <c r="J71">
        <v>2.464</v>
      </c>
      <c r="K71">
        <v>2.4470000000000001</v>
      </c>
      <c r="M71">
        <v>28.067999999999994</v>
      </c>
      <c r="O71" s="2">
        <v>40</v>
      </c>
      <c r="P71">
        <v>4.2130000000000001</v>
      </c>
      <c r="Q71">
        <v>3.2090000000000001</v>
      </c>
      <c r="R71">
        <v>2.8759999999999999</v>
      </c>
      <c r="S71">
        <v>2.7050000000000001</v>
      </c>
      <c r="T71">
        <v>2.6120000000000001</v>
      </c>
      <c r="U71">
        <v>2.5499999999999998</v>
      </c>
      <c r="V71">
        <v>2.5099999999999998</v>
      </c>
      <c r="W71">
        <v>2.4820000000000002</v>
      </c>
      <c r="X71">
        <v>2.464</v>
      </c>
      <c r="Y71">
        <v>2.4470000000000001</v>
      </c>
    </row>
    <row r="72" spans="1:25" x14ac:dyDescent="0.3">
      <c r="A72" s="2">
        <v>50</v>
      </c>
      <c r="B72">
        <v>3.9780000000000002</v>
      </c>
      <c r="C72">
        <v>2.899</v>
      </c>
      <c r="D72">
        <v>2.5259999999999998</v>
      </c>
      <c r="E72">
        <v>2.3380000000000001</v>
      </c>
      <c r="F72">
        <v>2.2320000000000002</v>
      </c>
      <c r="G72">
        <v>2.165</v>
      </c>
      <c r="H72">
        <v>2.1190000000000002</v>
      </c>
      <c r="I72">
        <v>2.09</v>
      </c>
      <c r="J72">
        <v>2.0640000000000001</v>
      </c>
      <c r="K72">
        <v>2.0470000000000002</v>
      </c>
      <c r="M72">
        <v>24.457999999999998</v>
      </c>
      <c r="O72" s="2">
        <v>50</v>
      </c>
      <c r="P72">
        <v>3.9780000000000002</v>
      </c>
      <c r="Q72">
        <v>2.899</v>
      </c>
      <c r="R72">
        <v>2.5259999999999998</v>
      </c>
      <c r="S72">
        <v>2.3380000000000001</v>
      </c>
      <c r="T72">
        <v>2.2320000000000002</v>
      </c>
      <c r="U72">
        <v>2.165</v>
      </c>
      <c r="V72">
        <v>2.1190000000000002</v>
      </c>
      <c r="W72">
        <v>2.09</v>
      </c>
      <c r="X72">
        <v>2.0640000000000001</v>
      </c>
      <c r="Y72">
        <v>2.0470000000000002</v>
      </c>
    </row>
    <row r="73" spans="1:25" x14ac:dyDescent="0.3">
      <c r="A73" s="2">
        <v>60</v>
      </c>
      <c r="B73">
        <v>3.8010000000000002</v>
      </c>
      <c r="C73">
        <v>2.7160000000000002</v>
      </c>
      <c r="D73">
        <v>2.3109999999999999</v>
      </c>
      <c r="E73">
        <v>2.105</v>
      </c>
      <c r="F73">
        <v>1.9930000000000001</v>
      </c>
      <c r="G73">
        <v>1.915</v>
      </c>
      <c r="H73">
        <v>1.865</v>
      </c>
      <c r="I73">
        <v>1.829</v>
      </c>
      <c r="J73">
        <v>1.8029999999999999</v>
      </c>
      <c r="K73">
        <v>1.7829999999999999</v>
      </c>
      <c r="M73">
        <v>22.121000000000002</v>
      </c>
      <c r="O73" s="2">
        <v>60</v>
      </c>
      <c r="P73">
        <v>3.8010000000000002</v>
      </c>
      <c r="Q73">
        <v>2.7160000000000002</v>
      </c>
      <c r="R73">
        <v>2.3109999999999999</v>
      </c>
      <c r="S73">
        <v>2.105</v>
      </c>
      <c r="T73">
        <v>1.9930000000000001</v>
      </c>
      <c r="U73">
        <v>1.915</v>
      </c>
      <c r="V73">
        <v>1.865</v>
      </c>
      <c r="W73">
        <v>1.829</v>
      </c>
      <c r="X73">
        <v>1.8029999999999999</v>
      </c>
      <c r="Y73">
        <v>1.7829999999999999</v>
      </c>
    </row>
    <row r="74" spans="1:25" x14ac:dyDescent="0.3">
      <c r="A74" s="2">
        <v>70</v>
      </c>
      <c r="B74">
        <v>3.661</v>
      </c>
      <c r="C74">
        <v>2.6120000000000001</v>
      </c>
      <c r="D74">
        <v>2.17</v>
      </c>
      <c r="E74">
        <v>1.9490000000000001</v>
      </c>
      <c r="F74">
        <v>1.825</v>
      </c>
      <c r="G74">
        <v>1.744</v>
      </c>
      <c r="H74">
        <v>1.6910000000000001</v>
      </c>
      <c r="I74">
        <v>1.651</v>
      </c>
      <c r="J74">
        <v>1.621</v>
      </c>
      <c r="K74">
        <v>1.601</v>
      </c>
      <c r="M74">
        <v>20.524999999999999</v>
      </c>
      <c r="O74" s="2">
        <v>70</v>
      </c>
      <c r="P74">
        <v>3.661</v>
      </c>
      <c r="Q74">
        <v>2.6120000000000001</v>
      </c>
      <c r="R74">
        <v>2.17</v>
      </c>
      <c r="S74">
        <v>1.9490000000000001</v>
      </c>
      <c r="T74">
        <v>1.825</v>
      </c>
      <c r="U74">
        <v>1.744</v>
      </c>
      <c r="V74">
        <v>1.6910000000000001</v>
      </c>
      <c r="W74">
        <v>1.651</v>
      </c>
      <c r="X74">
        <v>1.621</v>
      </c>
      <c r="Y74">
        <v>1.601</v>
      </c>
    </row>
    <row r="75" spans="1:25" x14ac:dyDescent="0.3">
      <c r="A75" s="2">
        <v>80</v>
      </c>
      <c r="B75">
        <v>3.5430000000000001</v>
      </c>
      <c r="C75">
        <v>2.528</v>
      </c>
      <c r="D75">
        <v>2.077</v>
      </c>
      <c r="E75">
        <v>1.841</v>
      </c>
      <c r="F75">
        <v>1.7090000000000001</v>
      </c>
      <c r="G75">
        <v>1.6220000000000001</v>
      </c>
      <c r="H75">
        <v>1.5660000000000001</v>
      </c>
      <c r="I75">
        <v>1.5209999999999999</v>
      </c>
      <c r="J75">
        <v>1.494</v>
      </c>
      <c r="K75">
        <v>1.4670000000000001</v>
      </c>
      <c r="M75">
        <v>19.367999999999999</v>
      </c>
      <c r="O75" s="2">
        <v>80</v>
      </c>
      <c r="P75">
        <v>3.5430000000000001</v>
      </c>
      <c r="Q75">
        <v>2.528</v>
      </c>
      <c r="R75">
        <v>2.077</v>
      </c>
      <c r="S75">
        <v>1.841</v>
      </c>
      <c r="T75">
        <v>1.7090000000000001</v>
      </c>
      <c r="U75">
        <v>1.6220000000000001</v>
      </c>
      <c r="V75">
        <v>1.5660000000000001</v>
      </c>
      <c r="W75">
        <v>1.5209999999999999</v>
      </c>
      <c r="X75">
        <v>1.494</v>
      </c>
      <c r="Y75">
        <v>1.4670000000000001</v>
      </c>
    </row>
    <row r="76" spans="1:25" x14ac:dyDescent="0.3">
      <c r="A76" s="2">
        <v>90</v>
      </c>
      <c r="B76">
        <v>3.4420000000000002</v>
      </c>
      <c r="C76">
        <v>2.4540000000000002</v>
      </c>
      <c r="D76">
        <v>2.0129999999999999</v>
      </c>
      <c r="E76">
        <v>1.7649999999999999</v>
      </c>
      <c r="F76">
        <v>1.6259999999999999</v>
      </c>
      <c r="G76">
        <v>1.5349999999999999</v>
      </c>
      <c r="H76">
        <v>1.4690000000000001</v>
      </c>
      <c r="I76">
        <v>1.4239999999999999</v>
      </c>
      <c r="J76">
        <v>1.391</v>
      </c>
      <c r="K76">
        <v>1.3680000000000001</v>
      </c>
      <c r="M76">
        <v>18.486999999999998</v>
      </c>
      <c r="O76" s="2">
        <v>90</v>
      </c>
      <c r="P76">
        <v>3.4420000000000002</v>
      </c>
      <c r="Q76">
        <v>2.4540000000000002</v>
      </c>
      <c r="R76">
        <v>2.0129999999999999</v>
      </c>
      <c r="S76">
        <v>1.7649999999999999</v>
      </c>
      <c r="T76">
        <v>1.6259999999999999</v>
      </c>
      <c r="U76">
        <v>1.5349999999999999</v>
      </c>
      <c r="V76">
        <v>1.4690000000000001</v>
      </c>
      <c r="W76">
        <v>1.4239999999999999</v>
      </c>
      <c r="X76">
        <v>1.391</v>
      </c>
      <c r="Y76">
        <v>1.3680000000000001</v>
      </c>
    </row>
    <row r="77" spans="1:25" x14ac:dyDescent="0.3">
      <c r="A77" s="2">
        <v>100</v>
      </c>
      <c r="B77">
        <v>3.407</v>
      </c>
      <c r="C77">
        <v>2.3889999999999998</v>
      </c>
      <c r="D77">
        <v>1.9650000000000001</v>
      </c>
      <c r="E77">
        <v>1.7110000000000001</v>
      </c>
      <c r="F77">
        <v>1.5629999999999999</v>
      </c>
      <c r="G77">
        <v>1.468</v>
      </c>
      <c r="H77">
        <v>1.395</v>
      </c>
      <c r="I77">
        <v>1.355</v>
      </c>
      <c r="J77">
        <v>1.3169999999999999</v>
      </c>
      <c r="K77">
        <v>1.2849999999999999</v>
      </c>
      <c r="M77">
        <v>17.855</v>
      </c>
      <c r="O77" s="2">
        <v>100</v>
      </c>
      <c r="P77">
        <v>3.407</v>
      </c>
      <c r="Q77">
        <v>2.3889999999999998</v>
      </c>
      <c r="R77">
        <v>1.9650000000000001</v>
      </c>
      <c r="S77">
        <v>1.7110000000000001</v>
      </c>
      <c r="T77">
        <v>1.5629999999999999</v>
      </c>
      <c r="U77">
        <v>1.468</v>
      </c>
      <c r="V77">
        <v>1.395</v>
      </c>
      <c r="W77">
        <v>1.355</v>
      </c>
      <c r="X77">
        <v>1.3169999999999999</v>
      </c>
      <c r="Y77">
        <v>1.2849999999999999</v>
      </c>
    </row>
    <row r="78" spans="1:25" x14ac:dyDescent="0.3">
      <c r="A78" s="2" t="s">
        <v>22</v>
      </c>
    </row>
    <row r="79" spans="1:25" x14ac:dyDescent="0.3">
      <c r="A79" s="2" t="s">
        <v>19</v>
      </c>
      <c r="B79">
        <v>46.093000000000004</v>
      </c>
      <c r="C79">
        <v>36.790000000000006</v>
      </c>
      <c r="D79">
        <v>33.227000000000004</v>
      </c>
      <c r="E79">
        <v>31.359000000000002</v>
      </c>
      <c r="F79">
        <v>30.297999999999998</v>
      </c>
      <c r="G79">
        <v>29.611999999999998</v>
      </c>
      <c r="H79">
        <v>29.140999999999998</v>
      </c>
      <c r="I79">
        <v>28.821000000000002</v>
      </c>
      <c r="J79">
        <v>28.579000000000001</v>
      </c>
      <c r="K79">
        <v>28.393000000000001</v>
      </c>
      <c r="M79">
        <v>322.31300000000005</v>
      </c>
    </row>
    <row r="81" spans="1:25" x14ac:dyDescent="0.3">
      <c r="A81">
        <v>7</v>
      </c>
    </row>
    <row r="82" spans="1:25" x14ac:dyDescent="0.3">
      <c r="A82" s="1" t="s">
        <v>29</v>
      </c>
      <c r="B82" s="1" t="s">
        <v>20</v>
      </c>
      <c r="O82" s="8" t="s">
        <v>29</v>
      </c>
      <c r="P82" s="8" t="s">
        <v>20</v>
      </c>
      <c r="Q82" s="8"/>
      <c r="R82" s="8"/>
      <c r="S82" s="8"/>
      <c r="T82" s="8"/>
      <c r="U82" s="8"/>
      <c r="V82" s="8"/>
      <c r="W82" s="8"/>
      <c r="X82" s="8"/>
      <c r="Y82" s="8"/>
    </row>
    <row r="83" spans="1:25" x14ac:dyDescent="0.3">
      <c r="A83" s="1" t="s">
        <v>18</v>
      </c>
      <c r="B83">
        <v>10</v>
      </c>
      <c r="C83">
        <v>20</v>
      </c>
      <c r="D83">
        <v>30</v>
      </c>
      <c r="E83">
        <v>40</v>
      </c>
      <c r="F83">
        <v>50</v>
      </c>
      <c r="G83">
        <v>60</v>
      </c>
      <c r="H83">
        <v>70</v>
      </c>
      <c r="I83">
        <v>80</v>
      </c>
      <c r="J83">
        <v>90</v>
      </c>
      <c r="K83">
        <v>100</v>
      </c>
      <c r="L83" t="s">
        <v>22</v>
      </c>
      <c r="M83" t="s">
        <v>19</v>
      </c>
      <c r="O83" s="3" t="s">
        <v>18</v>
      </c>
      <c r="P83" s="3">
        <v>10</v>
      </c>
      <c r="Q83" s="3">
        <v>20</v>
      </c>
      <c r="R83" s="3">
        <v>30</v>
      </c>
      <c r="S83" s="3">
        <v>40</v>
      </c>
      <c r="T83" s="3">
        <v>50</v>
      </c>
      <c r="U83" s="3">
        <v>60</v>
      </c>
      <c r="V83" s="3">
        <v>70</v>
      </c>
      <c r="W83" s="3">
        <v>80</v>
      </c>
      <c r="X83" s="3">
        <v>90</v>
      </c>
      <c r="Y83" s="3">
        <v>100</v>
      </c>
    </row>
    <row r="84" spans="1:25" x14ac:dyDescent="0.3">
      <c r="A84" s="2">
        <v>10</v>
      </c>
      <c r="O84" s="2">
        <v>10</v>
      </c>
    </row>
    <row r="85" spans="1:25" x14ac:dyDescent="0.3">
      <c r="A85" s="2">
        <v>20</v>
      </c>
      <c r="O85" s="2">
        <v>20</v>
      </c>
    </row>
    <row r="86" spans="1:25" x14ac:dyDescent="0.3">
      <c r="A86" s="2">
        <v>30</v>
      </c>
      <c r="O86" s="2">
        <v>30</v>
      </c>
    </row>
    <row r="87" spans="1:25" x14ac:dyDescent="0.3">
      <c r="A87" s="2">
        <v>40</v>
      </c>
      <c r="O87" s="2">
        <v>40</v>
      </c>
    </row>
    <row r="88" spans="1:25" x14ac:dyDescent="0.3">
      <c r="A88" s="2">
        <v>50</v>
      </c>
      <c r="O88" s="2">
        <v>50</v>
      </c>
    </row>
    <row r="89" spans="1:25" x14ac:dyDescent="0.3">
      <c r="A89" s="2">
        <v>60</v>
      </c>
      <c r="O89" s="2">
        <v>60</v>
      </c>
    </row>
    <row r="90" spans="1:25" x14ac:dyDescent="0.3">
      <c r="A90" s="2">
        <v>70</v>
      </c>
      <c r="O90" s="2">
        <v>70</v>
      </c>
    </row>
    <row r="91" spans="1:25" x14ac:dyDescent="0.3">
      <c r="A91" s="2">
        <v>80</v>
      </c>
      <c r="O91" s="2">
        <v>80</v>
      </c>
    </row>
    <row r="92" spans="1:25" x14ac:dyDescent="0.3">
      <c r="A92" s="2">
        <v>90</v>
      </c>
      <c r="O92" s="2">
        <v>90</v>
      </c>
    </row>
    <row r="93" spans="1:25" x14ac:dyDescent="0.3">
      <c r="A93" s="2">
        <v>100</v>
      </c>
      <c r="O93" s="2">
        <v>100</v>
      </c>
    </row>
    <row r="94" spans="1:25" x14ac:dyDescent="0.3">
      <c r="A94" s="2" t="s">
        <v>22</v>
      </c>
    </row>
    <row r="95" spans="1:25" x14ac:dyDescent="0.3">
      <c r="A95" s="2" t="s">
        <v>19</v>
      </c>
    </row>
    <row r="97" spans="1:25" x14ac:dyDescent="0.3">
      <c r="A97">
        <v>8</v>
      </c>
    </row>
    <row r="98" spans="1:25" x14ac:dyDescent="0.3">
      <c r="A98" s="1" t="s">
        <v>21</v>
      </c>
      <c r="B98" s="1" t="s">
        <v>20</v>
      </c>
      <c r="O98" s="8" t="s">
        <v>21</v>
      </c>
      <c r="P98" s="8" t="s">
        <v>20</v>
      </c>
      <c r="Q98" s="8"/>
      <c r="R98" s="8"/>
      <c r="S98" s="8"/>
      <c r="T98" s="8"/>
      <c r="U98" s="8"/>
      <c r="V98" s="8"/>
      <c r="W98" s="8"/>
      <c r="X98" s="8"/>
      <c r="Y98" s="8"/>
    </row>
    <row r="99" spans="1:25" x14ac:dyDescent="0.3">
      <c r="A99" s="1" t="s">
        <v>18</v>
      </c>
      <c r="B99">
        <v>10</v>
      </c>
      <c r="C99">
        <v>20</v>
      </c>
      <c r="D99">
        <v>30</v>
      </c>
      <c r="E99">
        <v>40</v>
      </c>
      <c r="F99">
        <v>50</v>
      </c>
      <c r="G99">
        <v>60</v>
      </c>
      <c r="H99">
        <v>70</v>
      </c>
      <c r="I99">
        <v>80</v>
      </c>
      <c r="J99">
        <v>90</v>
      </c>
      <c r="K99">
        <v>100</v>
      </c>
      <c r="L99" t="s">
        <v>22</v>
      </c>
      <c r="M99" t="s">
        <v>19</v>
      </c>
      <c r="O99" s="3" t="s">
        <v>18</v>
      </c>
      <c r="P99" s="3">
        <v>10</v>
      </c>
      <c r="Q99" s="3">
        <v>20</v>
      </c>
      <c r="R99" s="3">
        <v>30</v>
      </c>
      <c r="S99" s="3">
        <v>40</v>
      </c>
      <c r="T99" s="3">
        <v>50</v>
      </c>
      <c r="U99" s="3">
        <v>60</v>
      </c>
      <c r="V99" s="3">
        <v>70</v>
      </c>
      <c r="W99" s="3">
        <v>80</v>
      </c>
      <c r="X99" s="3">
        <v>90</v>
      </c>
      <c r="Y99" s="3">
        <v>100</v>
      </c>
    </row>
    <row r="100" spans="1:25" x14ac:dyDescent="0.3">
      <c r="A100" s="2">
        <v>10</v>
      </c>
      <c r="B100">
        <v>9.6389999999999993</v>
      </c>
      <c r="C100">
        <v>9.1419999999999995</v>
      </c>
      <c r="D100">
        <v>8.9719999999999995</v>
      </c>
      <c r="E100">
        <v>8.8859999999999992</v>
      </c>
      <c r="F100">
        <v>8.8379999999999992</v>
      </c>
      <c r="G100">
        <v>8.8059999999999992</v>
      </c>
      <c r="H100">
        <v>8.7829999999999995</v>
      </c>
      <c r="I100">
        <v>8.7690000000000001</v>
      </c>
      <c r="J100">
        <v>8.7550000000000008</v>
      </c>
      <c r="K100">
        <v>8.7460000000000004</v>
      </c>
      <c r="M100">
        <v>89.335999999999984</v>
      </c>
      <c r="O100" s="2">
        <v>10</v>
      </c>
      <c r="P100">
        <v>9.6389999999999993</v>
      </c>
      <c r="Q100">
        <v>9.1419999999999995</v>
      </c>
      <c r="R100">
        <v>8.9719999999999995</v>
      </c>
      <c r="S100">
        <v>8.8859999999999992</v>
      </c>
      <c r="T100">
        <v>8.8379999999999992</v>
      </c>
      <c r="U100">
        <v>8.8059999999999992</v>
      </c>
      <c r="V100">
        <v>8.7829999999999995</v>
      </c>
      <c r="W100">
        <v>8.7690000000000001</v>
      </c>
      <c r="X100">
        <v>8.7550000000000008</v>
      </c>
      <c r="Y100">
        <v>8.7460000000000004</v>
      </c>
    </row>
    <row r="101" spans="1:25" x14ac:dyDescent="0.3">
      <c r="A101" s="2">
        <v>20</v>
      </c>
      <c r="B101">
        <v>5.7610000000000001</v>
      </c>
      <c r="C101">
        <v>5.0579999999999998</v>
      </c>
      <c r="D101">
        <v>4.8259999999999996</v>
      </c>
      <c r="E101">
        <v>4.7060000000000004</v>
      </c>
      <c r="F101">
        <v>4.6360000000000001</v>
      </c>
      <c r="G101">
        <v>4.593</v>
      </c>
      <c r="H101">
        <v>4.5620000000000003</v>
      </c>
      <c r="I101">
        <v>4.5439999999999996</v>
      </c>
      <c r="J101">
        <v>4.53</v>
      </c>
      <c r="K101">
        <v>4.5179999999999998</v>
      </c>
      <c r="M101">
        <v>47.733999999999995</v>
      </c>
      <c r="O101" s="2">
        <v>20</v>
      </c>
      <c r="P101">
        <v>5.7610000000000001</v>
      </c>
      <c r="Q101">
        <v>5.0579999999999998</v>
      </c>
      <c r="R101">
        <v>4.8259999999999996</v>
      </c>
      <c r="S101">
        <v>4.7060000000000004</v>
      </c>
      <c r="T101">
        <v>4.6360000000000001</v>
      </c>
      <c r="U101">
        <v>4.593</v>
      </c>
      <c r="V101">
        <v>4.5620000000000003</v>
      </c>
      <c r="W101">
        <v>4.5439999999999996</v>
      </c>
      <c r="X101">
        <v>4.53</v>
      </c>
      <c r="Y101">
        <v>4.5179999999999998</v>
      </c>
    </row>
    <row r="102" spans="1:25" x14ac:dyDescent="0.3">
      <c r="A102" s="2">
        <v>30</v>
      </c>
      <c r="B102">
        <v>4.6479999999999997</v>
      </c>
      <c r="C102">
        <v>3.7850000000000001</v>
      </c>
      <c r="D102">
        <v>3.4990000000000001</v>
      </c>
      <c r="E102">
        <v>3.3540000000000001</v>
      </c>
      <c r="F102">
        <v>3.2730000000000001</v>
      </c>
      <c r="G102">
        <v>3.222</v>
      </c>
      <c r="H102">
        <v>3.1840000000000002</v>
      </c>
      <c r="I102">
        <v>3.16</v>
      </c>
      <c r="J102">
        <v>3.1429999999999998</v>
      </c>
      <c r="K102">
        <v>3.1280000000000001</v>
      </c>
      <c r="M102">
        <v>34.396000000000001</v>
      </c>
      <c r="O102" s="2">
        <v>30</v>
      </c>
      <c r="P102">
        <v>4.6479999999999997</v>
      </c>
      <c r="Q102">
        <v>3.7850000000000001</v>
      </c>
      <c r="R102">
        <v>3.4990000000000001</v>
      </c>
      <c r="S102">
        <v>3.3540000000000001</v>
      </c>
      <c r="T102">
        <v>3.2730000000000001</v>
      </c>
      <c r="U102">
        <v>3.222</v>
      </c>
      <c r="V102">
        <v>3.1840000000000002</v>
      </c>
      <c r="W102">
        <v>3.16</v>
      </c>
      <c r="X102">
        <v>3.1429999999999998</v>
      </c>
      <c r="Y102">
        <v>3.1280000000000001</v>
      </c>
    </row>
    <row r="103" spans="1:25" x14ac:dyDescent="0.3">
      <c r="A103" s="2">
        <v>40</v>
      </c>
      <c r="B103">
        <v>4.2050000000000001</v>
      </c>
      <c r="C103">
        <v>3.2050000000000001</v>
      </c>
      <c r="D103">
        <v>2.879</v>
      </c>
      <c r="E103">
        <v>2.7050000000000001</v>
      </c>
      <c r="F103">
        <v>2.613</v>
      </c>
      <c r="G103">
        <v>2.552</v>
      </c>
      <c r="H103">
        <v>2.5089999999999999</v>
      </c>
      <c r="I103">
        <v>2.4849999999999999</v>
      </c>
      <c r="J103">
        <v>2.4630000000000001</v>
      </c>
      <c r="K103">
        <v>2.4460000000000002</v>
      </c>
      <c r="M103">
        <v>28.062000000000001</v>
      </c>
      <c r="O103" s="2">
        <v>40</v>
      </c>
      <c r="P103">
        <v>4.2050000000000001</v>
      </c>
      <c r="Q103">
        <v>3.2050000000000001</v>
      </c>
      <c r="R103">
        <v>2.879</v>
      </c>
      <c r="S103">
        <v>2.7050000000000001</v>
      </c>
      <c r="T103">
        <v>2.613</v>
      </c>
      <c r="U103">
        <v>2.552</v>
      </c>
      <c r="V103">
        <v>2.5089999999999999</v>
      </c>
      <c r="W103">
        <v>2.4849999999999999</v>
      </c>
      <c r="X103">
        <v>2.4630000000000001</v>
      </c>
      <c r="Y103">
        <v>2.4460000000000002</v>
      </c>
    </row>
    <row r="104" spans="1:25" x14ac:dyDescent="0.3">
      <c r="A104" s="2">
        <v>50</v>
      </c>
      <c r="B104">
        <v>3.9769999999999999</v>
      </c>
      <c r="C104">
        <v>2.8940000000000001</v>
      </c>
      <c r="D104">
        <v>2.5230000000000001</v>
      </c>
      <c r="E104">
        <v>2.339</v>
      </c>
      <c r="F104">
        <v>2.23</v>
      </c>
      <c r="G104">
        <v>2.165</v>
      </c>
      <c r="H104">
        <v>2.117</v>
      </c>
      <c r="I104">
        <v>2.0880000000000001</v>
      </c>
      <c r="J104">
        <v>2.0659999999999998</v>
      </c>
      <c r="K104">
        <v>2.0419999999999998</v>
      </c>
      <c r="M104">
        <v>24.441000000000003</v>
      </c>
      <c r="O104" s="2">
        <v>50</v>
      </c>
      <c r="P104">
        <v>3.9769999999999999</v>
      </c>
      <c r="Q104">
        <v>2.8940000000000001</v>
      </c>
      <c r="R104">
        <v>2.5230000000000001</v>
      </c>
      <c r="S104">
        <v>2.339</v>
      </c>
      <c r="T104">
        <v>2.23</v>
      </c>
      <c r="U104">
        <v>2.165</v>
      </c>
      <c r="V104">
        <v>2.117</v>
      </c>
      <c r="W104">
        <v>2.0880000000000001</v>
      </c>
      <c r="X104">
        <v>2.0659999999999998</v>
      </c>
      <c r="Y104">
        <v>2.0419999999999998</v>
      </c>
    </row>
    <row r="105" spans="1:25" x14ac:dyDescent="0.3">
      <c r="A105" s="2">
        <v>60</v>
      </c>
      <c r="B105">
        <v>3.802</v>
      </c>
      <c r="C105">
        <v>2.7170000000000001</v>
      </c>
      <c r="D105">
        <v>2.3119999999999998</v>
      </c>
      <c r="E105">
        <v>2.105</v>
      </c>
      <c r="F105">
        <v>1.9890000000000001</v>
      </c>
      <c r="G105">
        <v>1.915</v>
      </c>
      <c r="H105">
        <v>1.865</v>
      </c>
      <c r="I105">
        <v>1.829</v>
      </c>
      <c r="J105">
        <v>1.8029999999999999</v>
      </c>
      <c r="K105">
        <v>1.7829999999999999</v>
      </c>
      <c r="M105">
        <v>22.12</v>
      </c>
      <c r="O105" s="2">
        <v>60</v>
      </c>
      <c r="P105">
        <v>3.802</v>
      </c>
      <c r="Q105">
        <v>2.7170000000000001</v>
      </c>
      <c r="R105">
        <v>2.3119999999999998</v>
      </c>
      <c r="S105">
        <v>2.105</v>
      </c>
      <c r="T105">
        <v>1.9890000000000001</v>
      </c>
      <c r="U105">
        <v>1.915</v>
      </c>
      <c r="V105">
        <v>1.865</v>
      </c>
      <c r="W105">
        <v>1.829</v>
      </c>
      <c r="X105">
        <v>1.8029999999999999</v>
      </c>
      <c r="Y105">
        <v>1.7829999999999999</v>
      </c>
    </row>
    <row r="106" spans="1:25" x14ac:dyDescent="0.3">
      <c r="A106" s="2">
        <v>70</v>
      </c>
      <c r="B106">
        <v>3.661</v>
      </c>
      <c r="C106">
        <v>2.6110000000000002</v>
      </c>
      <c r="D106">
        <v>2.173</v>
      </c>
      <c r="E106">
        <v>1.9510000000000001</v>
      </c>
      <c r="F106">
        <v>1.8280000000000001</v>
      </c>
      <c r="G106">
        <v>1.744</v>
      </c>
      <c r="H106">
        <v>1.6910000000000001</v>
      </c>
      <c r="I106">
        <v>1.651</v>
      </c>
      <c r="J106">
        <v>1.621</v>
      </c>
      <c r="K106">
        <v>1.601</v>
      </c>
      <c r="M106">
        <v>20.532</v>
      </c>
      <c r="O106" s="2">
        <v>70</v>
      </c>
      <c r="P106">
        <v>3.661</v>
      </c>
      <c r="Q106">
        <v>2.6110000000000002</v>
      </c>
      <c r="R106">
        <v>2.173</v>
      </c>
      <c r="S106">
        <v>1.9510000000000001</v>
      </c>
      <c r="T106">
        <v>1.8280000000000001</v>
      </c>
      <c r="U106">
        <v>1.744</v>
      </c>
      <c r="V106">
        <v>1.6910000000000001</v>
      </c>
      <c r="W106">
        <v>1.651</v>
      </c>
      <c r="X106">
        <v>1.621</v>
      </c>
      <c r="Y106">
        <v>1.601</v>
      </c>
    </row>
    <row r="107" spans="1:25" x14ac:dyDescent="0.3">
      <c r="A107" s="2">
        <v>80</v>
      </c>
      <c r="B107">
        <v>3.5419999999999998</v>
      </c>
      <c r="C107">
        <v>2.5259999999999998</v>
      </c>
      <c r="D107">
        <v>2.0779999999999998</v>
      </c>
      <c r="E107">
        <v>1.841</v>
      </c>
      <c r="F107">
        <v>1.7110000000000001</v>
      </c>
      <c r="G107">
        <v>1.619</v>
      </c>
      <c r="H107">
        <v>1.5649999999999999</v>
      </c>
      <c r="I107">
        <v>1.524</v>
      </c>
      <c r="J107">
        <v>1.496</v>
      </c>
      <c r="K107">
        <v>1.4690000000000001</v>
      </c>
      <c r="M107">
        <v>19.370999999999999</v>
      </c>
      <c r="O107" s="2">
        <v>80</v>
      </c>
      <c r="P107">
        <v>3.5419999999999998</v>
      </c>
      <c r="Q107">
        <v>2.5259999999999998</v>
      </c>
      <c r="R107">
        <v>2.0779999999999998</v>
      </c>
      <c r="S107">
        <v>1.841</v>
      </c>
      <c r="T107">
        <v>1.7110000000000001</v>
      </c>
      <c r="U107">
        <v>1.619</v>
      </c>
      <c r="V107">
        <v>1.5649999999999999</v>
      </c>
      <c r="W107">
        <v>1.524</v>
      </c>
      <c r="X107">
        <v>1.496</v>
      </c>
      <c r="Y107">
        <v>1.4690000000000001</v>
      </c>
    </row>
    <row r="108" spans="1:25" x14ac:dyDescent="0.3">
      <c r="A108" s="2">
        <v>90</v>
      </c>
      <c r="B108">
        <v>3.4449999999999998</v>
      </c>
      <c r="C108">
        <v>2.4540000000000002</v>
      </c>
      <c r="D108">
        <v>2.0129999999999999</v>
      </c>
      <c r="E108">
        <v>1.7649999999999999</v>
      </c>
      <c r="F108">
        <v>1.6259999999999999</v>
      </c>
      <c r="G108">
        <v>1.5369999999999999</v>
      </c>
      <c r="H108">
        <v>1.4710000000000001</v>
      </c>
      <c r="I108">
        <v>1.427</v>
      </c>
      <c r="J108">
        <v>1.393</v>
      </c>
      <c r="K108">
        <v>1.363</v>
      </c>
      <c r="M108">
        <v>18.494</v>
      </c>
      <c r="O108" s="2">
        <v>90</v>
      </c>
      <c r="P108">
        <v>3.4449999999999998</v>
      </c>
      <c r="Q108">
        <v>2.4540000000000002</v>
      </c>
      <c r="R108">
        <v>2.0129999999999999</v>
      </c>
      <c r="S108">
        <v>1.7649999999999999</v>
      </c>
      <c r="T108">
        <v>1.6259999999999999</v>
      </c>
      <c r="U108">
        <v>1.5369999999999999</v>
      </c>
      <c r="V108">
        <v>1.4710000000000001</v>
      </c>
      <c r="W108">
        <v>1.427</v>
      </c>
      <c r="X108">
        <v>1.393</v>
      </c>
      <c r="Y108">
        <v>1.363</v>
      </c>
    </row>
    <row r="109" spans="1:25" x14ac:dyDescent="0.3">
      <c r="A109" s="2">
        <v>100</v>
      </c>
      <c r="B109">
        <v>3.411</v>
      </c>
      <c r="C109">
        <v>2.39</v>
      </c>
      <c r="D109">
        <v>1.9650000000000001</v>
      </c>
      <c r="E109">
        <v>1.7110000000000001</v>
      </c>
      <c r="F109">
        <v>1.5649999999999999</v>
      </c>
      <c r="G109">
        <v>1.4650000000000001</v>
      </c>
      <c r="H109">
        <v>1.399</v>
      </c>
      <c r="I109">
        <v>1.351</v>
      </c>
      <c r="J109">
        <v>1.3140000000000001</v>
      </c>
      <c r="K109">
        <v>1.2869999999999999</v>
      </c>
      <c r="M109">
        <v>17.857999999999997</v>
      </c>
      <c r="O109" s="2">
        <v>100</v>
      </c>
      <c r="P109">
        <v>3.411</v>
      </c>
      <c r="Q109">
        <v>2.39</v>
      </c>
      <c r="R109">
        <v>1.9650000000000001</v>
      </c>
      <c r="S109">
        <v>1.7110000000000001</v>
      </c>
      <c r="T109">
        <v>1.5649999999999999</v>
      </c>
      <c r="U109">
        <v>1.4650000000000001</v>
      </c>
      <c r="V109">
        <v>1.399</v>
      </c>
      <c r="W109">
        <v>1.351</v>
      </c>
      <c r="X109">
        <v>1.3140000000000001</v>
      </c>
      <c r="Y109">
        <v>1.2869999999999999</v>
      </c>
    </row>
    <row r="110" spans="1:25" x14ac:dyDescent="0.3">
      <c r="A110" s="2" t="s">
        <v>22</v>
      </c>
    </row>
    <row r="111" spans="1:25" x14ac:dyDescent="0.3">
      <c r="A111" s="2" t="s">
        <v>19</v>
      </c>
      <c r="B111">
        <v>46.091000000000008</v>
      </c>
      <c r="C111">
        <v>36.781999999999996</v>
      </c>
      <c r="D111">
        <v>33.24</v>
      </c>
      <c r="E111">
        <v>31.362999999999996</v>
      </c>
      <c r="F111">
        <v>30.309000000000001</v>
      </c>
      <c r="G111">
        <v>29.617999999999995</v>
      </c>
      <c r="H111">
        <v>29.146000000000001</v>
      </c>
      <c r="I111">
        <v>28.827999999999999</v>
      </c>
      <c r="J111">
        <v>28.584</v>
      </c>
      <c r="K111">
        <v>28.383000000000003</v>
      </c>
      <c r="M111">
        <v>322.34399999999999</v>
      </c>
    </row>
    <row r="113" spans="1:25" x14ac:dyDescent="0.3">
      <c r="A113">
        <v>9</v>
      </c>
    </row>
    <row r="114" spans="1:25" x14ac:dyDescent="0.3">
      <c r="A114" s="1" t="s">
        <v>21</v>
      </c>
      <c r="B114" s="1" t="s">
        <v>20</v>
      </c>
      <c r="O114" s="8" t="s">
        <v>21</v>
      </c>
      <c r="P114" s="8" t="s">
        <v>20</v>
      </c>
      <c r="Q114" s="8"/>
      <c r="R114" s="8"/>
      <c r="S114" s="8"/>
      <c r="T114" s="8"/>
      <c r="U114" s="8"/>
      <c r="V114" s="8"/>
      <c r="W114" s="8"/>
      <c r="X114" s="8"/>
      <c r="Y114" s="8"/>
    </row>
    <row r="115" spans="1:25" x14ac:dyDescent="0.3">
      <c r="A115" s="1" t="s">
        <v>18</v>
      </c>
      <c r="B115">
        <v>10</v>
      </c>
      <c r="C115">
        <v>20</v>
      </c>
      <c r="D115">
        <v>30</v>
      </c>
      <c r="E115">
        <v>40</v>
      </c>
      <c r="F115">
        <v>50</v>
      </c>
      <c r="G115">
        <v>60</v>
      </c>
      <c r="H115">
        <v>70</v>
      </c>
      <c r="I115">
        <v>80</v>
      </c>
      <c r="J115">
        <v>90</v>
      </c>
      <c r="K115">
        <v>100</v>
      </c>
      <c r="L115" t="s">
        <v>22</v>
      </c>
      <c r="M115" t="s">
        <v>19</v>
      </c>
      <c r="O115" s="3" t="s">
        <v>18</v>
      </c>
      <c r="P115" s="3">
        <v>10</v>
      </c>
      <c r="Q115" s="3">
        <v>20</v>
      </c>
      <c r="R115" s="3">
        <v>30</v>
      </c>
      <c r="S115" s="3">
        <v>40</v>
      </c>
      <c r="T115" s="3">
        <v>50</v>
      </c>
      <c r="U115" s="3">
        <v>60</v>
      </c>
      <c r="V115" s="3">
        <v>70</v>
      </c>
      <c r="W115" s="3">
        <v>80</v>
      </c>
      <c r="X115" s="3">
        <v>90</v>
      </c>
      <c r="Y115" s="3">
        <v>100</v>
      </c>
    </row>
    <row r="116" spans="1:25" x14ac:dyDescent="0.3">
      <c r="A116" s="2">
        <v>10</v>
      </c>
      <c r="B116">
        <v>9.6329999999999991</v>
      </c>
      <c r="C116">
        <v>9.1379999999999999</v>
      </c>
      <c r="D116">
        <v>8.9700000000000006</v>
      </c>
      <c r="E116">
        <v>8.8879999999999999</v>
      </c>
      <c r="F116">
        <v>8.8409999999999993</v>
      </c>
      <c r="G116">
        <v>8.7989999999999995</v>
      </c>
      <c r="H116">
        <v>8.7799999999999994</v>
      </c>
      <c r="I116">
        <v>8.766</v>
      </c>
      <c r="J116">
        <v>8.7539999999999996</v>
      </c>
      <c r="K116">
        <v>8.7460000000000004</v>
      </c>
      <c r="M116">
        <v>89.314999999999998</v>
      </c>
      <c r="O116" s="2">
        <v>10</v>
      </c>
      <c r="P116">
        <v>9.6329999999999991</v>
      </c>
      <c r="Q116">
        <v>9.1379999999999999</v>
      </c>
      <c r="R116">
        <v>8.9700000000000006</v>
      </c>
      <c r="S116">
        <v>8.8879999999999999</v>
      </c>
      <c r="T116">
        <v>8.8409999999999993</v>
      </c>
      <c r="U116">
        <v>8.7989999999999995</v>
      </c>
      <c r="V116">
        <v>8.7799999999999994</v>
      </c>
      <c r="W116">
        <v>8.766</v>
      </c>
      <c r="X116">
        <v>8.7539999999999996</v>
      </c>
      <c r="Y116">
        <v>8.7460000000000004</v>
      </c>
    </row>
    <row r="117" spans="1:25" x14ac:dyDescent="0.3">
      <c r="A117" s="2">
        <v>20</v>
      </c>
      <c r="B117">
        <v>5.7610000000000001</v>
      </c>
      <c r="C117">
        <v>5.0579999999999998</v>
      </c>
      <c r="D117">
        <v>4.8220000000000001</v>
      </c>
      <c r="E117">
        <v>4.7080000000000002</v>
      </c>
      <c r="F117">
        <v>4.6340000000000003</v>
      </c>
      <c r="G117">
        <v>4.5960000000000001</v>
      </c>
      <c r="H117">
        <v>4.5620000000000003</v>
      </c>
      <c r="I117">
        <v>4.54</v>
      </c>
      <c r="J117">
        <v>4.53</v>
      </c>
      <c r="K117">
        <v>4.5179999999999998</v>
      </c>
      <c r="M117">
        <v>47.728999999999999</v>
      </c>
      <c r="O117" s="2">
        <v>20</v>
      </c>
      <c r="P117">
        <v>5.7610000000000001</v>
      </c>
      <c r="Q117">
        <v>5.0579999999999998</v>
      </c>
      <c r="R117">
        <v>4.8220000000000001</v>
      </c>
      <c r="S117">
        <v>4.7080000000000002</v>
      </c>
      <c r="T117">
        <v>4.6340000000000003</v>
      </c>
      <c r="U117">
        <v>4.5960000000000001</v>
      </c>
      <c r="V117">
        <v>4.5620000000000003</v>
      </c>
      <c r="W117">
        <v>4.54</v>
      </c>
      <c r="X117">
        <v>4.53</v>
      </c>
      <c r="Y117">
        <v>4.5179999999999998</v>
      </c>
    </row>
    <row r="118" spans="1:25" x14ac:dyDescent="0.3">
      <c r="A118" s="2">
        <v>30</v>
      </c>
      <c r="B118">
        <v>4.6479999999999997</v>
      </c>
      <c r="C118">
        <v>3.7850000000000001</v>
      </c>
      <c r="D118">
        <v>3.4969999999999999</v>
      </c>
      <c r="E118">
        <v>3.3559999999999999</v>
      </c>
      <c r="F118">
        <v>3.2730000000000001</v>
      </c>
      <c r="G118">
        <v>3.2210000000000001</v>
      </c>
      <c r="H118">
        <v>3.1859999999999999</v>
      </c>
      <c r="I118">
        <v>3.161</v>
      </c>
      <c r="J118">
        <v>3.1419999999999999</v>
      </c>
      <c r="K118">
        <v>3.13</v>
      </c>
      <c r="M118">
        <v>34.399000000000001</v>
      </c>
      <c r="O118" s="2">
        <v>30</v>
      </c>
      <c r="P118">
        <v>4.6479999999999997</v>
      </c>
      <c r="Q118">
        <v>3.7850000000000001</v>
      </c>
      <c r="R118">
        <v>3.4969999999999999</v>
      </c>
      <c r="S118">
        <v>3.3559999999999999</v>
      </c>
      <c r="T118">
        <v>3.2730000000000001</v>
      </c>
      <c r="U118">
        <v>3.2210000000000001</v>
      </c>
      <c r="V118">
        <v>3.1859999999999999</v>
      </c>
      <c r="W118">
        <v>3.161</v>
      </c>
      <c r="X118">
        <v>3.1419999999999999</v>
      </c>
      <c r="Y118">
        <v>3.13</v>
      </c>
    </row>
    <row r="119" spans="1:25" x14ac:dyDescent="0.3">
      <c r="A119" s="2">
        <v>40</v>
      </c>
      <c r="B119">
        <v>4.2050000000000001</v>
      </c>
      <c r="C119">
        <v>3.2090000000000001</v>
      </c>
      <c r="D119">
        <v>2.8740000000000001</v>
      </c>
      <c r="E119">
        <v>2.71</v>
      </c>
      <c r="F119">
        <v>2.6120000000000001</v>
      </c>
      <c r="G119">
        <v>2.5499999999999998</v>
      </c>
      <c r="H119">
        <v>2.5089999999999999</v>
      </c>
      <c r="I119">
        <v>2.484</v>
      </c>
      <c r="J119">
        <v>2.4649999999999999</v>
      </c>
      <c r="K119">
        <v>2.4449999999999998</v>
      </c>
      <c r="M119">
        <v>28.062999999999999</v>
      </c>
      <c r="O119" s="2">
        <v>40</v>
      </c>
      <c r="P119">
        <v>4.2050000000000001</v>
      </c>
      <c r="Q119">
        <v>3.2090000000000001</v>
      </c>
      <c r="R119">
        <v>2.8740000000000001</v>
      </c>
      <c r="S119">
        <v>2.71</v>
      </c>
      <c r="T119">
        <v>2.6120000000000001</v>
      </c>
      <c r="U119">
        <v>2.5499999999999998</v>
      </c>
      <c r="V119">
        <v>2.5089999999999999</v>
      </c>
      <c r="W119">
        <v>2.484</v>
      </c>
      <c r="X119">
        <v>2.4649999999999999</v>
      </c>
      <c r="Y119">
        <v>2.4449999999999998</v>
      </c>
    </row>
    <row r="120" spans="1:25" x14ac:dyDescent="0.3">
      <c r="A120" s="2">
        <v>50</v>
      </c>
      <c r="B120">
        <v>3.9769999999999999</v>
      </c>
      <c r="C120">
        <v>2.9</v>
      </c>
      <c r="D120">
        <v>2.5259999999999998</v>
      </c>
      <c r="E120">
        <v>2.34</v>
      </c>
      <c r="F120">
        <v>2.2309999999999999</v>
      </c>
      <c r="G120">
        <v>2.165</v>
      </c>
      <c r="H120">
        <v>2.117</v>
      </c>
      <c r="I120">
        <v>2.09</v>
      </c>
      <c r="J120">
        <v>2.0619999999999998</v>
      </c>
      <c r="K120">
        <v>2.0430000000000001</v>
      </c>
      <c r="M120">
        <v>24.451000000000001</v>
      </c>
      <c r="O120" s="2">
        <v>50</v>
      </c>
      <c r="P120">
        <v>3.9769999999999999</v>
      </c>
      <c r="Q120">
        <v>2.9</v>
      </c>
      <c r="R120">
        <v>2.5259999999999998</v>
      </c>
      <c r="S120">
        <v>2.34</v>
      </c>
      <c r="T120">
        <v>2.2309999999999999</v>
      </c>
      <c r="U120">
        <v>2.165</v>
      </c>
      <c r="V120">
        <v>2.117</v>
      </c>
      <c r="W120">
        <v>2.09</v>
      </c>
      <c r="X120">
        <v>2.0619999999999998</v>
      </c>
      <c r="Y120">
        <v>2.0430000000000001</v>
      </c>
    </row>
    <row r="121" spans="1:25" x14ac:dyDescent="0.3">
      <c r="A121" s="2">
        <v>60</v>
      </c>
      <c r="B121">
        <v>3.8010000000000002</v>
      </c>
      <c r="C121">
        <v>2.718</v>
      </c>
      <c r="D121">
        <v>2.31</v>
      </c>
      <c r="E121">
        <v>2.105</v>
      </c>
      <c r="F121">
        <v>1.9870000000000001</v>
      </c>
      <c r="G121">
        <v>1.915</v>
      </c>
      <c r="H121">
        <v>1.865</v>
      </c>
      <c r="I121">
        <v>1.829</v>
      </c>
      <c r="J121">
        <v>1.8029999999999999</v>
      </c>
      <c r="K121">
        <v>1.7829999999999999</v>
      </c>
      <c r="M121">
        <v>22.116000000000003</v>
      </c>
      <c r="O121" s="2">
        <v>60</v>
      </c>
      <c r="P121">
        <v>3.8010000000000002</v>
      </c>
      <c r="Q121">
        <v>2.718</v>
      </c>
      <c r="R121">
        <v>2.31</v>
      </c>
      <c r="S121">
        <v>2.105</v>
      </c>
      <c r="T121">
        <v>1.9870000000000001</v>
      </c>
      <c r="U121">
        <v>1.915</v>
      </c>
      <c r="V121">
        <v>1.865</v>
      </c>
      <c r="W121">
        <v>1.829</v>
      </c>
      <c r="X121">
        <v>1.8029999999999999</v>
      </c>
      <c r="Y121">
        <v>1.7829999999999999</v>
      </c>
    </row>
    <row r="122" spans="1:25" x14ac:dyDescent="0.3">
      <c r="A122" s="2">
        <v>70</v>
      </c>
      <c r="B122">
        <v>3.661</v>
      </c>
      <c r="C122">
        <v>2.6120000000000001</v>
      </c>
      <c r="D122">
        <v>2.17</v>
      </c>
      <c r="E122">
        <v>1.9490000000000001</v>
      </c>
      <c r="F122">
        <v>1.825</v>
      </c>
      <c r="G122">
        <v>1.7450000000000001</v>
      </c>
      <c r="H122">
        <v>1.694</v>
      </c>
      <c r="I122">
        <v>1.651</v>
      </c>
      <c r="J122">
        <v>1.621</v>
      </c>
      <c r="K122">
        <v>1.6020000000000001</v>
      </c>
      <c r="M122">
        <v>20.529999999999998</v>
      </c>
      <c r="O122" s="2">
        <v>70</v>
      </c>
      <c r="P122">
        <v>3.661</v>
      </c>
      <c r="Q122">
        <v>2.6120000000000001</v>
      </c>
      <c r="R122">
        <v>2.17</v>
      </c>
      <c r="S122">
        <v>1.9490000000000001</v>
      </c>
      <c r="T122">
        <v>1.825</v>
      </c>
      <c r="U122">
        <v>1.7450000000000001</v>
      </c>
      <c r="V122">
        <v>1.694</v>
      </c>
      <c r="W122">
        <v>1.651</v>
      </c>
      <c r="X122">
        <v>1.621</v>
      </c>
      <c r="Y122">
        <v>1.6020000000000001</v>
      </c>
    </row>
    <row r="123" spans="1:25" x14ac:dyDescent="0.3">
      <c r="A123" s="2">
        <v>80</v>
      </c>
      <c r="B123">
        <v>3.5409999999999999</v>
      </c>
      <c r="C123">
        <v>2.5259999999999998</v>
      </c>
      <c r="D123">
        <v>2.077</v>
      </c>
      <c r="E123">
        <v>1.841</v>
      </c>
      <c r="F123">
        <v>1.71</v>
      </c>
      <c r="G123">
        <v>1.6240000000000001</v>
      </c>
      <c r="H123">
        <v>1.5649999999999999</v>
      </c>
      <c r="I123">
        <v>1.5229999999999999</v>
      </c>
      <c r="J123">
        <v>1.4970000000000001</v>
      </c>
      <c r="K123">
        <v>1.4670000000000001</v>
      </c>
      <c r="M123">
        <v>19.370999999999999</v>
      </c>
      <c r="O123" s="2">
        <v>80</v>
      </c>
      <c r="P123">
        <v>3.5409999999999999</v>
      </c>
      <c r="Q123">
        <v>2.5259999999999998</v>
      </c>
      <c r="R123">
        <v>2.077</v>
      </c>
      <c r="S123">
        <v>1.841</v>
      </c>
      <c r="T123">
        <v>1.71</v>
      </c>
      <c r="U123">
        <v>1.6240000000000001</v>
      </c>
      <c r="V123">
        <v>1.5649999999999999</v>
      </c>
      <c r="W123">
        <v>1.5229999999999999</v>
      </c>
      <c r="X123">
        <v>1.4970000000000001</v>
      </c>
      <c r="Y123">
        <v>1.4670000000000001</v>
      </c>
    </row>
    <row r="124" spans="1:25" x14ac:dyDescent="0.3">
      <c r="A124" s="2">
        <v>90</v>
      </c>
      <c r="B124">
        <v>3.4420000000000002</v>
      </c>
      <c r="C124">
        <v>2.452</v>
      </c>
      <c r="D124">
        <v>2.0129999999999999</v>
      </c>
      <c r="E124">
        <v>1.7649999999999999</v>
      </c>
      <c r="F124">
        <v>1.629</v>
      </c>
      <c r="G124">
        <v>1.5289999999999999</v>
      </c>
      <c r="H124">
        <v>1.4690000000000001</v>
      </c>
      <c r="I124">
        <v>1.4279999999999999</v>
      </c>
      <c r="J124">
        <v>1.389</v>
      </c>
      <c r="K124">
        <v>1.37</v>
      </c>
      <c r="M124">
        <v>18.486000000000001</v>
      </c>
      <c r="O124" s="2">
        <v>90</v>
      </c>
      <c r="P124">
        <v>3.4420000000000002</v>
      </c>
      <c r="Q124">
        <v>2.452</v>
      </c>
      <c r="R124">
        <v>2.0129999999999999</v>
      </c>
      <c r="S124">
        <v>1.7649999999999999</v>
      </c>
      <c r="T124">
        <v>1.629</v>
      </c>
      <c r="U124">
        <v>1.5289999999999999</v>
      </c>
      <c r="V124">
        <v>1.4690000000000001</v>
      </c>
      <c r="W124">
        <v>1.4279999999999999</v>
      </c>
      <c r="X124">
        <v>1.389</v>
      </c>
      <c r="Y124">
        <v>1.37</v>
      </c>
    </row>
    <row r="125" spans="1:25" x14ac:dyDescent="0.3">
      <c r="A125" s="2">
        <v>100</v>
      </c>
      <c r="B125">
        <v>3.4089999999999998</v>
      </c>
      <c r="C125">
        <v>2.391</v>
      </c>
      <c r="D125">
        <v>1.9650000000000001</v>
      </c>
      <c r="E125">
        <v>1.7110000000000001</v>
      </c>
      <c r="F125">
        <v>1.5649999999999999</v>
      </c>
      <c r="G125">
        <v>1.468</v>
      </c>
      <c r="H125">
        <v>1.397</v>
      </c>
      <c r="I125">
        <v>1.3540000000000001</v>
      </c>
      <c r="J125">
        <v>1.3169999999999999</v>
      </c>
      <c r="K125">
        <v>1.2869999999999999</v>
      </c>
      <c r="M125">
        <v>17.863999999999997</v>
      </c>
      <c r="O125" s="2">
        <v>100</v>
      </c>
      <c r="P125">
        <v>3.4089999999999998</v>
      </c>
      <c r="Q125">
        <v>2.391</v>
      </c>
      <c r="R125">
        <v>1.9650000000000001</v>
      </c>
      <c r="S125">
        <v>1.7110000000000001</v>
      </c>
      <c r="T125">
        <v>1.5649999999999999</v>
      </c>
      <c r="U125">
        <v>1.468</v>
      </c>
      <c r="V125">
        <v>1.397</v>
      </c>
      <c r="W125">
        <v>1.3540000000000001</v>
      </c>
      <c r="X125">
        <v>1.3169999999999999</v>
      </c>
      <c r="Y125">
        <v>1.2869999999999999</v>
      </c>
    </row>
    <row r="126" spans="1:25" x14ac:dyDescent="0.3">
      <c r="A126" s="2" t="s">
        <v>22</v>
      </c>
    </row>
    <row r="127" spans="1:25" x14ac:dyDescent="0.3">
      <c r="A127" s="2" t="s">
        <v>19</v>
      </c>
      <c r="B127">
        <v>46.077999999999996</v>
      </c>
      <c r="C127">
        <v>36.789000000000001</v>
      </c>
      <c r="D127">
        <v>33.223999999999997</v>
      </c>
      <c r="E127">
        <v>31.373000000000001</v>
      </c>
      <c r="F127">
        <v>30.307000000000006</v>
      </c>
      <c r="G127">
        <v>29.611999999999998</v>
      </c>
      <c r="H127">
        <v>29.143999999999998</v>
      </c>
      <c r="I127">
        <v>28.826000000000001</v>
      </c>
      <c r="J127">
        <v>28.58</v>
      </c>
      <c r="K127">
        <v>28.390999999999998</v>
      </c>
      <c r="M127">
        <v>322.3239999999999</v>
      </c>
    </row>
    <row r="129" spans="1:25" x14ac:dyDescent="0.3">
      <c r="A129">
        <v>10</v>
      </c>
    </row>
    <row r="130" spans="1:25" x14ac:dyDescent="0.3">
      <c r="A130" s="1" t="s">
        <v>21</v>
      </c>
      <c r="B130" s="1" t="s">
        <v>20</v>
      </c>
      <c r="O130" s="8" t="s">
        <v>21</v>
      </c>
      <c r="P130" s="8" t="s">
        <v>20</v>
      </c>
      <c r="Q130" s="8"/>
      <c r="R130" s="8"/>
      <c r="S130" s="8"/>
      <c r="T130" s="8"/>
      <c r="U130" s="8"/>
      <c r="V130" s="8"/>
      <c r="W130" s="8"/>
      <c r="X130" s="8"/>
      <c r="Y130" s="8"/>
    </row>
    <row r="131" spans="1:25" x14ac:dyDescent="0.3">
      <c r="A131" s="1" t="s">
        <v>18</v>
      </c>
      <c r="B131">
        <v>10</v>
      </c>
      <c r="C131">
        <v>20</v>
      </c>
      <c r="D131">
        <v>30</v>
      </c>
      <c r="E131">
        <v>40</v>
      </c>
      <c r="F131">
        <v>50</v>
      </c>
      <c r="G131">
        <v>60</v>
      </c>
      <c r="H131">
        <v>70</v>
      </c>
      <c r="I131">
        <v>80</v>
      </c>
      <c r="J131">
        <v>90</v>
      </c>
      <c r="K131">
        <v>100</v>
      </c>
      <c r="L131" t="s">
        <v>22</v>
      </c>
      <c r="M131" t="s">
        <v>19</v>
      </c>
      <c r="O131" s="3" t="s">
        <v>18</v>
      </c>
      <c r="P131" s="3">
        <v>10</v>
      </c>
      <c r="Q131" s="3">
        <v>20</v>
      </c>
      <c r="R131" s="3">
        <v>30</v>
      </c>
      <c r="S131" s="3">
        <v>40</v>
      </c>
      <c r="T131" s="3">
        <v>50</v>
      </c>
      <c r="U131" s="3">
        <v>60</v>
      </c>
      <c r="V131" s="3">
        <v>70</v>
      </c>
      <c r="W131" s="3">
        <v>80</v>
      </c>
      <c r="X131" s="3">
        <v>90</v>
      </c>
      <c r="Y131" s="3">
        <v>100</v>
      </c>
    </row>
    <row r="132" spans="1:25" x14ac:dyDescent="0.3">
      <c r="A132" s="2">
        <v>10</v>
      </c>
      <c r="B132">
        <v>9.6340000000000003</v>
      </c>
      <c r="C132">
        <v>9.1419999999999995</v>
      </c>
      <c r="D132">
        <v>8.9700000000000006</v>
      </c>
      <c r="E132">
        <v>8.8859999999999992</v>
      </c>
      <c r="F132">
        <v>8.8379999999999992</v>
      </c>
      <c r="G132">
        <v>8.8019999999999996</v>
      </c>
      <c r="H132">
        <v>8.7780000000000005</v>
      </c>
      <c r="I132">
        <v>8.7720000000000002</v>
      </c>
      <c r="J132">
        <v>8.7590000000000003</v>
      </c>
      <c r="K132">
        <v>8.7490000000000006</v>
      </c>
      <c r="M132">
        <v>89.33</v>
      </c>
      <c r="O132" s="2">
        <v>10</v>
      </c>
      <c r="P132">
        <v>9.6340000000000003</v>
      </c>
      <c r="Q132">
        <v>9.1419999999999995</v>
      </c>
      <c r="R132">
        <v>8.9700000000000006</v>
      </c>
      <c r="S132">
        <v>8.8859999999999992</v>
      </c>
      <c r="T132">
        <v>8.8379999999999992</v>
      </c>
      <c r="U132">
        <v>8.8019999999999996</v>
      </c>
      <c r="V132">
        <v>8.7780000000000005</v>
      </c>
      <c r="W132">
        <v>8.7720000000000002</v>
      </c>
      <c r="X132">
        <v>8.7590000000000003</v>
      </c>
      <c r="Y132">
        <v>8.7490000000000006</v>
      </c>
    </row>
    <row r="133" spans="1:25" x14ac:dyDescent="0.3">
      <c r="A133" s="2">
        <v>20</v>
      </c>
      <c r="B133">
        <v>5.7640000000000002</v>
      </c>
      <c r="C133">
        <v>5.0549999999999997</v>
      </c>
      <c r="D133">
        <v>4.82</v>
      </c>
      <c r="E133">
        <v>4.7060000000000004</v>
      </c>
      <c r="F133">
        <v>4.6349999999999998</v>
      </c>
      <c r="G133">
        <v>4.5960000000000001</v>
      </c>
      <c r="H133">
        <v>4.5640000000000001</v>
      </c>
      <c r="I133">
        <v>4.5430000000000001</v>
      </c>
      <c r="J133">
        <v>4.532</v>
      </c>
      <c r="K133">
        <v>4.5179999999999998</v>
      </c>
      <c r="M133">
        <v>47.733000000000004</v>
      </c>
      <c r="O133" s="2">
        <v>20</v>
      </c>
      <c r="P133">
        <v>5.7640000000000002</v>
      </c>
      <c r="Q133">
        <v>5.0549999999999997</v>
      </c>
      <c r="R133">
        <v>4.82</v>
      </c>
      <c r="S133">
        <v>4.7060000000000004</v>
      </c>
      <c r="T133">
        <v>4.6349999999999998</v>
      </c>
      <c r="U133">
        <v>4.5960000000000001</v>
      </c>
      <c r="V133">
        <v>4.5640000000000001</v>
      </c>
      <c r="W133">
        <v>4.5430000000000001</v>
      </c>
      <c r="X133">
        <v>4.532</v>
      </c>
      <c r="Y133">
        <v>4.5179999999999998</v>
      </c>
    </row>
    <row r="134" spans="1:25" x14ac:dyDescent="0.3">
      <c r="A134" s="2">
        <v>30</v>
      </c>
      <c r="B134">
        <v>4.6529999999999996</v>
      </c>
      <c r="C134">
        <v>3.7850000000000001</v>
      </c>
      <c r="D134">
        <v>3.4980000000000002</v>
      </c>
      <c r="E134">
        <v>3.3580000000000001</v>
      </c>
      <c r="F134">
        <v>3.2719999999999998</v>
      </c>
      <c r="G134">
        <v>3.2189999999999999</v>
      </c>
      <c r="H134">
        <v>3.1859999999999999</v>
      </c>
      <c r="I134">
        <v>3.1579999999999999</v>
      </c>
      <c r="J134">
        <v>3.1429999999999998</v>
      </c>
      <c r="K134">
        <v>3.129</v>
      </c>
      <c r="M134">
        <v>34.401000000000003</v>
      </c>
      <c r="O134" s="2">
        <v>30</v>
      </c>
      <c r="P134">
        <v>4.6529999999999996</v>
      </c>
      <c r="Q134">
        <v>3.7850000000000001</v>
      </c>
      <c r="R134">
        <v>3.4980000000000002</v>
      </c>
      <c r="S134">
        <v>3.3580000000000001</v>
      </c>
      <c r="T134">
        <v>3.2719999999999998</v>
      </c>
      <c r="U134">
        <v>3.2189999999999999</v>
      </c>
      <c r="V134">
        <v>3.1859999999999999</v>
      </c>
      <c r="W134">
        <v>3.1579999999999999</v>
      </c>
      <c r="X134">
        <v>3.1429999999999998</v>
      </c>
      <c r="Y134">
        <v>3.129</v>
      </c>
    </row>
    <row r="135" spans="1:25" x14ac:dyDescent="0.3">
      <c r="A135" s="2">
        <v>40</v>
      </c>
      <c r="B135">
        <v>4.2050000000000001</v>
      </c>
      <c r="C135">
        <v>3.2069999999999999</v>
      </c>
      <c r="D135">
        <v>2.875</v>
      </c>
      <c r="E135">
        <v>2.706</v>
      </c>
      <c r="F135">
        <v>2.61</v>
      </c>
      <c r="G135">
        <v>2.5499999999999998</v>
      </c>
      <c r="H135">
        <v>2.5089999999999999</v>
      </c>
      <c r="I135">
        <v>2.4820000000000002</v>
      </c>
      <c r="J135">
        <v>2.4649999999999999</v>
      </c>
      <c r="K135">
        <v>2.4500000000000002</v>
      </c>
      <c r="M135">
        <v>28.058999999999997</v>
      </c>
      <c r="O135" s="2">
        <v>40</v>
      </c>
      <c r="P135">
        <v>4.2050000000000001</v>
      </c>
      <c r="Q135">
        <v>3.2069999999999999</v>
      </c>
      <c r="R135">
        <v>2.875</v>
      </c>
      <c r="S135">
        <v>2.706</v>
      </c>
      <c r="T135">
        <v>2.61</v>
      </c>
      <c r="U135">
        <v>2.5499999999999998</v>
      </c>
      <c r="V135">
        <v>2.5089999999999999</v>
      </c>
      <c r="W135">
        <v>2.4820000000000002</v>
      </c>
      <c r="X135">
        <v>2.4649999999999999</v>
      </c>
      <c r="Y135">
        <v>2.4500000000000002</v>
      </c>
    </row>
    <row r="136" spans="1:25" x14ac:dyDescent="0.3">
      <c r="A136" s="2">
        <v>50</v>
      </c>
      <c r="B136">
        <v>3.9769999999999999</v>
      </c>
      <c r="C136">
        <v>2.8940000000000001</v>
      </c>
      <c r="D136">
        <v>2.524</v>
      </c>
      <c r="E136">
        <v>2.3370000000000002</v>
      </c>
      <c r="F136">
        <v>2.2320000000000002</v>
      </c>
      <c r="G136">
        <v>2.1659999999999999</v>
      </c>
      <c r="H136">
        <v>2.1190000000000002</v>
      </c>
      <c r="I136">
        <v>2.0870000000000002</v>
      </c>
      <c r="J136">
        <v>2.0630000000000002</v>
      </c>
      <c r="K136">
        <v>2.048</v>
      </c>
      <c r="M136">
        <v>24.446999999999996</v>
      </c>
      <c r="O136" s="2">
        <v>50</v>
      </c>
      <c r="P136">
        <v>3.9769999999999999</v>
      </c>
      <c r="Q136">
        <v>2.8940000000000001</v>
      </c>
      <c r="R136">
        <v>2.524</v>
      </c>
      <c r="S136">
        <v>2.3370000000000002</v>
      </c>
      <c r="T136">
        <v>2.2320000000000002</v>
      </c>
      <c r="U136">
        <v>2.1659999999999999</v>
      </c>
      <c r="V136">
        <v>2.1190000000000002</v>
      </c>
      <c r="W136">
        <v>2.0870000000000002</v>
      </c>
      <c r="X136">
        <v>2.0630000000000002</v>
      </c>
      <c r="Y136">
        <v>2.048</v>
      </c>
    </row>
    <row r="137" spans="1:25" x14ac:dyDescent="0.3">
      <c r="A137" s="2">
        <v>60</v>
      </c>
      <c r="B137">
        <v>3.8029999999999999</v>
      </c>
      <c r="C137">
        <v>2.72</v>
      </c>
      <c r="D137">
        <v>2.3079999999999998</v>
      </c>
      <c r="E137">
        <v>2.105</v>
      </c>
      <c r="F137">
        <v>1.9890000000000001</v>
      </c>
      <c r="G137">
        <v>1.915</v>
      </c>
      <c r="H137">
        <v>1.865</v>
      </c>
      <c r="I137">
        <v>1.829</v>
      </c>
      <c r="J137">
        <v>1.8029999999999999</v>
      </c>
      <c r="K137">
        <v>1.7829999999999999</v>
      </c>
      <c r="M137">
        <v>22.12</v>
      </c>
      <c r="O137" s="2">
        <v>60</v>
      </c>
      <c r="P137">
        <v>3.8029999999999999</v>
      </c>
      <c r="Q137">
        <v>2.72</v>
      </c>
      <c r="R137">
        <v>2.3079999999999998</v>
      </c>
      <c r="S137">
        <v>2.105</v>
      </c>
      <c r="T137">
        <v>1.9890000000000001</v>
      </c>
      <c r="U137">
        <v>1.915</v>
      </c>
      <c r="V137">
        <v>1.865</v>
      </c>
      <c r="W137">
        <v>1.829</v>
      </c>
      <c r="X137">
        <v>1.8029999999999999</v>
      </c>
      <c r="Y137">
        <v>1.7829999999999999</v>
      </c>
    </row>
    <row r="138" spans="1:25" x14ac:dyDescent="0.3">
      <c r="A138" s="2">
        <v>70</v>
      </c>
      <c r="B138">
        <v>3.6640000000000001</v>
      </c>
      <c r="C138">
        <v>2.613</v>
      </c>
      <c r="D138">
        <v>2.1709999999999998</v>
      </c>
      <c r="E138">
        <v>1.954</v>
      </c>
      <c r="F138">
        <v>1.825</v>
      </c>
      <c r="G138">
        <v>1.746</v>
      </c>
      <c r="H138">
        <v>1.6890000000000001</v>
      </c>
      <c r="I138">
        <v>1.651</v>
      </c>
      <c r="J138">
        <v>1.621</v>
      </c>
      <c r="K138">
        <v>1.601</v>
      </c>
      <c r="M138">
        <v>20.535</v>
      </c>
      <c r="O138" s="2">
        <v>70</v>
      </c>
      <c r="P138">
        <v>3.6640000000000001</v>
      </c>
      <c r="Q138">
        <v>2.613</v>
      </c>
      <c r="R138">
        <v>2.1709999999999998</v>
      </c>
      <c r="S138">
        <v>1.954</v>
      </c>
      <c r="T138">
        <v>1.825</v>
      </c>
      <c r="U138">
        <v>1.746</v>
      </c>
      <c r="V138">
        <v>1.6890000000000001</v>
      </c>
      <c r="W138">
        <v>1.651</v>
      </c>
      <c r="X138">
        <v>1.621</v>
      </c>
      <c r="Y138">
        <v>1.601</v>
      </c>
    </row>
    <row r="139" spans="1:25" x14ac:dyDescent="0.3">
      <c r="A139" s="2">
        <v>80</v>
      </c>
      <c r="B139">
        <v>3.5409999999999999</v>
      </c>
      <c r="C139">
        <v>2.5259999999999998</v>
      </c>
      <c r="D139">
        <v>2.0779999999999998</v>
      </c>
      <c r="E139">
        <v>1.845</v>
      </c>
      <c r="F139">
        <v>1.712</v>
      </c>
      <c r="G139">
        <v>1.623</v>
      </c>
      <c r="H139">
        <v>1.5649999999999999</v>
      </c>
      <c r="I139">
        <v>1.522</v>
      </c>
      <c r="J139">
        <v>1.4910000000000001</v>
      </c>
      <c r="K139">
        <v>1.47</v>
      </c>
      <c r="M139">
        <v>19.372999999999998</v>
      </c>
      <c r="O139" s="2">
        <v>80</v>
      </c>
      <c r="P139">
        <v>3.5409999999999999</v>
      </c>
      <c r="Q139">
        <v>2.5259999999999998</v>
      </c>
      <c r="R139">
        <v>2.0779999999999998</v>
      </c>
      <c r="S139">
        <v>1.845</v>
      </c>
      <c r="T139">
        <v>1.712</v>
      </c>
      <c r="U139">
        <v>1.623</v>
      </c>
      <c r="V139">
        <v>1.5649999999999999</v>
      </c>
      <c r="W139">
        <v>1.522</v>
      </c>
      <c r="X139">
        <v>1.4910000000000001</v>
      </c>
      <c r="Y139">
        <v>1.47</v>
      </c>
    </row>
    <row r="140" spans="1:25" x14ac:dyDescent="0.3">
      <c r="A140" s="2">
        <v>90</v>
      </c>
      <c r="B140">
        <v>3.4430000000000001</v>
      </c>
      <c r="C140">
        <v>2.452</v>
      </c>
      <c r="D140">
        <v>2.0129999999999999</v>
      </c>
      <c r="E140">
        <v>1.768</v>
      </c>
      <c r="F140">
        <v>1.631</v>
      </c>
      <c r="G140">
        <v>1.5309999999999999</v>
      </c>
      <c r="H140">
        <v>1.4710000000000001</v>
      </c>
      <c r="I140">
        <v>1.427</v>
      </c>
      <c r="J140">
        <v>1.39</v>
      </c>
      <c r="K140">
        <v>1.37</v>
      </c>
      <c r="M140">
        <v>18.496000000000002</v>
      </c>
      <c r="O140" s="2">
        <v>90</v>
      </c>
      <c r="P140">
        <v>3.4430000000000001</v>
      </c>
      <c r="Q140">
        <v>2.452</v>
      </c>
      <c r="R140">
        <v>2.0129999999999999</v>
      </c>
      <c r="S140">
        <v>1.768</v>
      </c>
      <c r="T140">
        <v>1.631</v>
      </c>
      <c r="U140">
        <v>1.5309999999999999</v>
      </c>
      <c r="V140">
        <v>1.4710000000000001</v>
      </c>
      <c r="W140">
        <v>1.427</v>
      </c>
      <c r="X140">
        <v>1.39</v>
      </c>
      <c r="Y140">
        <v>1.37</v>
      </c>
    </row>
    <row r="141" spans="1:25" x14ac:dyDescent="0.3">
      <c r="A141" s="2">
        <v>100</v>
      </c>
      <c r="B141">
        <v>3.41</v>
      </c>
      <c r="C141">
        <v>2.391</v>
      </c>
      <c r="D141">
        <v>1.9650000000000001</v>
      </c>
      <c r="E141">
        <v>1.7110000000000001</v>
      </c>
      <c r="F141">
        <v>1.5620000000000001</v>
      </c>
      <c r="G141">
        <v>1.47</v>
      </c>
      <c r="H141">
        <v>1.3979999999999999</v>
      </c>
      <c r="I141">
        <v>1.353</v>
      </c>
      <c r="J141">
        <v>1.3160000000000001</v>
      </c>
      <c r="K141">
        <v>1.288</v>
      </c>
      <c r="M141">
        <v>17.864000000000001</v>
      </c>
      <c r="O141" s="2">
        <v>100</v>
      </c>
      <c r="P141">
        <v>3.41</v>
      </c>
      <c r="Q141">
        <v>2.391</v>
      </c>
      <c r="R141">
        <v>1.9650000000000001</v>
      </c>
      <c r="S141">
        <v>1.7110000000000001</v>
      </c>
      <c r="T141">
        <v>1.5620000000000001</v>
      </c>
      <c r="U141">
        <v>1.47</v>
      </c>
      <c r="V141">
        <v>1.3979999999999999</v>
      </c>
      <c r="W141">
        <v>1.353</v>
      </c>
      <c r="X141">
        <v>1.3160000000000001</v>
      </c>
      <c r="Y141">
        <v>1.288</v>
      </c>
    </row>
    <row r="142" spans="1:25" x14ac:dyDescent="0.3">
      <c r="A142" s="2" t="s">
        <v>22</v>
      </c>
    </row>
    <row r="143" spans="1:25" x14ac:dyDescent="0.3">
      <c r="A143" s="2" t="s">
        <v>19</v>
      </c>
      <c r="B143">
        <v>46.093999999999994</v>
      </c>
      <c r="C143">
        <v>36.784999999999997</v>
      </c>
      <c r="D143">
        <v>33.222000000000001</v>
      </c>
      <c r="E143">
        <v>31.375999999999998</v>
      </c>
      <c r="F143">
        <v>30.305999999999997</v>
      </c>
      <c r="G143">
        <v>29.617999999999999</v>
      </c>
      <c r="H143">
        <v>29.143999999999998</v>
      </c>
      <c r="I143">
        <v>28.824000000000002</v>
      </c>
      <c r="J143">
        <v>28.582999999999998</v>
      </c>
      <c r="K143">
        <v>28.405999999999999</v>
      </c>
      <c r="M143">
        <v>322.35799999999995</v>
      </c>
    </row>
    <row r="145" spans="1:25" x14ac:dyDescent="0.3">
      <c r="A145">
        <v>11</v>
      </c>
    </row>
    <row r="146" spans="1:25" x14ac:dyDescent="0.3">
      <c r="A146" s="1" t="s">
        <v>21</v>
      </c>
      <c r="B146" s="1" t="s">
        <v>20</v>
      </c>
      <c r="O146" s="8" t="s">
        <v>21</v>
      </c>
      <c r="P146" s="8" t="s">
        <v>20</v>
      </c>
      <c r="Q146" s="8"/>
      <c r="R146" s="8"/>
      <c r="S146" s="8"/>
      <c r="T146" s="8"/>
      <c r="U146" s="8"/>
      <c r="V146" s="8"/>
      <c r="W146" s="8"/>
      <c r="X146" s="8"/>
      <c r="Y146" s="8"/>
    </row>
    <row r="147" spans="1:25" x14ac:dyDescent="0.3">
      <c r="A147" s="1" t="s">
        <v>18</v>
      </c>
      <c r="B147">
        <v>10</v>
      </c>
      <c r="C147">
        <v>20</v>
      </c>
      <c r="D147">
        <v>30</v>
      </c>
      <c r="E147">
        <v>40</v>
      </c>
      <c r="F147">
        <v>50</v>
      </c>
      <c r="G147">
        <v>60</v>
      </c>
      <c r="H147">
        <v>70</v>
      </c>
      <c r="I147">
        <v>80</v>
      </c>
      <c r="J147">
        <v>90</v>
      </c>
      <c r="K147">
        <v>100</v>
      </c>
      <c r="L147" t="s">
        <v>22</v>
      </c>
      <c r="M147" t="s">
        <v>19</v>
      </c>
      <c r="O147" s="3" t="s">
        <v>18</v>
      </c>
      <c r="P147" s="3">
        <v>10</v>
      </c>
      <c r="Q147" s="3">
        <v>20</v>
      </c>
      <c r="R147" s="3">
        <v>30</v>
      </c>
      <c r="S147" s="3">
        <v>40</v>
      </c>
      <c r="T147" s="3">
        <v>50</v>
      </c>
      <c r="U147" s="3">
        <v>60</v>
      </c>
      <c r="V147" s="3">
        <v>70</v>
      </c>
      <c r="W147" s="3">
        <v>80</v>
      </c>
      <c r="X147" s="3">
        <v>90</v>
      </c>
      <c r="Y147" s="3">
        <v>100</v>
      </c>
    </row>
    <row r="148" spans="1:25" x14ac:dyDescent="0.3">
      <c r="A148" s="2">
        <v>10</v>
      </c>
      <c r="B148">
        <v>9.6340000000000003</v>
      </c>
      <c r="C148">
        <v>9.1370000000000005</v>
      </c>
      <c r="D148">
        <v>8.9700000000000006</v>
      </c>
      <c r="E148">
        <v>8.8859999999999992</v>
      </c>
      <c r="F148">
        <v>8.8379999999999992</v>
      </c>
      <c r="G148">
        <v>8.8000000000000007</v>
      </c>
      <c r="H148">
        <v>8.7810000000000006</v>
      </c>
      <c r="I148">
        <v>8.766</v>
      </c>
      <c r="J148">
        <v>8.76</v>
      </c>
      <c r="K148">
        <v>8.7490000000000006</v>
      </c>
      <c r="M148">
        <v>89.320999999999998</v>
      </c>
      <c r="O148" s="2">
        <v>10</v>
      </c>
      <c r="P148">
        <v>9.6340000000000003</v>
      </c>
      <c r="Q148">
        <v>9.1370000000000005</v>
      </c>
      <c r="R148">
        <v>8.9700000000000006</v>
      </c>
      <c r="S148">
        <v>8.8859999999999992</v>
      </c>
      <c r="T148">
        <v>8.8379999999999992</v>
      </c>
      <c r="U148">
        <v>8.8000000000000007</v>
      </c>
      <c r="V148">
        <v>8.7810000000000006</v>
      </c>
      <c r="W148">
        <v>8.766</v>
      </c>
      <c r="X148">
        <v>8.76</v>
      </c>
      <c r="Y148">
        <v>8.7490000000000006</v>
      </c>
    </row>
    <row r="149" spans="1:25" x14ac:dyDescent="0.3">
      <c r="A149" s="2">
        <v>20</v>
      </c>
      <c r="B149">
        <v>5.766</v>
      </c>
      <c r="C149">
        <v>5.0590000000000002</v>
      </c>
      <c r="D149">
        <v>4.8220000000000001</v>
      </c>
      <c r="E149">
        <v>4.7060000000000004</v>
      </c>
      <c r="F149">
        <v>4.6340000000000003</v>
      </c>
      <c r="G149">
        <v>4.5940000000000003</v>
      </c>
      <c r="H149">
        <v>4.5620000000000003</v>
      </c>
      <c r="I149">
        <v>4.5419999999999998</v>
      </c>
      <c r="J149">
        <v>4.53</v>
      </c>
      <c r="K149">
        <v>4.516</v>
      </c>
      <c r="M149">
        <v>47.731000000000002</v>
      </c>
      <c r="O149" s="2">
        <v>20</v>
      </c>
      <c r="P149">
        <v>5.766</v>
      </c>
      <c r="Q149">
        <v>5.0590000000000002</v>
      </c>
      <c r="R149">
        <v>4.8220000000000001</v>
      </c>
      <c r="S149">
        <v>4.7060000000000004</v>
      </c>
      <c r="T149">
        <v>4.6340000000000003</v>
      </c>
      <c r="U149">
        <v>4.5940000000000003</v>
      </c>
      <c r="V149">
        <v>4.5620000000000003</v>
      </c>
      <c r="W149">
        <v>4.5419999999999998</v>
      </c>
      <c r="X149">
        <v>4.53</v>
      </c>
      <c r="Y149">
        <v>4.516</v>
      </c>
    </row>
    <row r="150" spans="1:25" x14ac:dyDescent="0.3">
      <c r="A150" s="2">
        <v>30</v>
      </c>
      <c r="B150">
        <v>4.6520000000000001</v>
      </c>
      <c r="C150">
        <v>3.7850000000000001</v>
      </c>
      <c r="D150">
        <v>3.4980000000000002</v>
      </c>
      <c r="E150">
        <v>3.3530000000000002</v>
      </c>
      <c r="F150">
        <v>3.27</v>
      </c>
      <c r="G150">
        <v>3.22</v>
      </c>
      <c r="H150">
        <v>3.1850000000000001</v>
      </c>
      <c r="I150">
        <v>3.16</v>
      </c>
      <c r="J150">
        <v>3.1419999999999999</v>
      </c>
      <c r="K150">
        <v>3.1339999999999999</v>
      </c>
      <c r="M150">
        <v>34.399000000000001</v>
      </c>
      <c r="O150" s="2">
        <v>30</v>
      </c>
      <c r="P150">
        <v>4.6520000000000001</v>
      </c>
      <c r="Q150">
        <v>3.7850000000000001</v>
      </c>
      <c r="R150">
        <v>3.4980000000000002</v>
      </c>
      <c r="S150">
        <v>3.3530000000000002</v>
      </c>
      <c r="T150">
        <v>3.27</v>
      </c>
      <c r="U150">
        <v>3.22</v>
      </c>
      <c r="V150">
        <v>3.1850000000000001</v>
      </c>
      <c r="W150">
        <v>3.16</v>
      </c>
      <c r="X150">
        <v>3.1419999999999999</v>
      </c>
      <c r="Y150">
        <v>3.1339999999999999</v>
      </c>
    </row>
    <row r="151" spans="1:25" x14ac:dyDescent="0.3">
      <c r="A151" s="2">
        <v>40</v>
      </c>
      <c r="B151">
        <v>4.2069999999999999</v>
      </c>
      <c r="C151">
        <v>3.206</v>
      </c>
      <c r="D151">
        <v>2.879</v>
      </c>
      <c r="E151">
        <v>2.7090000000000001</v>
      </c>
      <c r="F151">
        <v>2.6120000000000001</v>
      </c>
      <c r="G151">
        <v>2.5529999999999999</v>
      </c>
      <c r="H151">
        <v>2.512</v>
      </c>
      <c r="I151">
        <v>2.484</v>
      </c>
      <c r="J151">
        <v>2.4649999999999999</v>
      </c>
      <c r="K151">
        <v>2.4470000000000001</v>
      </c>
      <c r="M151">
        <v>28.073999999999998</v>
      </c>
      <c r="O151" s="2">
        <v>40</v>
      </c>
      <c r="P151">
        <v>4.2069999999999999</v>
      </c>
      <c r="Q151">
        <v>3.206</v>
      </c>
      <c r="R151">
        <v>2.879</v>
      </c>
      <c r="S151">
        <v>2.7090000000000001</v>
      </c>
      <c r="T151">
        <v>2.6120000000000001</v>
      </c>
      <c r="U151">
        <v>2.5529999999999999</v>
      </c>
      <c r="V151">
        <v>2.512</v>
      </c>
      <c r="W151">
        <v>2.484</v>
      </c>
      <c r="X151">
        <v>2.4649999999999999</v>
      </c>
      <c r="Y151">
        <v>2.4470000000000001</v>
      </c>
    </row>
    <row r="152" spans="1:25" x14ac:dyDescent="0.3">
      <c r="A152" s="2">
        <v>50</v>
      </c>
      <c r="B152">
        <v>3.9769999999999999</v>
      </c>
      <c r="C152">
        <v>2.8919999999999999</v>
      </c>
      <c r="D152">
        <v>2.524</v>
      </c>
      <c r="E152">
        <v>2.335</v>
      </c>
      <c r="F152">
        <v>2.2320000000000002</v>
      </c>
      <c r="G152">
        <v>2.1659999999999999</v>
      </c>
      <c r="H152">
        <v>2.117</v>
      </c>
      <c r="I152">
        <v>2.0870000000000002</v>
      </c>
      <c r="J152">
        <v>2.0630000000000002</v>
      </c>
      <c r="K152">
        <v>2.048</v>
      </c>
      <c r="M152">
        <v>24.441000000000003</v>
      </c>
      <c r="O152" s="2">
        <v>50</v>
      </c>
      <c r="P152">
        <v>3.9769999999999999</v>
      </c>
      <c r="Q152">
        <v>2.8919999999999999</v>
      </c>
      <c r="R152">
        <v>2.524</v>
      </c>
      <c r="S152">
        <v>2.335</v>
      </c>
      <c r="T152">
        <v>2.2320000000000002</v>
      </c>
      <c r="U152">
        <v>2.1659999999999999</v>
      </c>
      <c r="V152">
        <v>2.117</v>
      </c>
      <c r="W152">
        <v>2.0870000000000002</v>
      </c>
      <c r="X152">
        <v>2.0630000000000002</v>
      </c>
      <c r="Y152">
        <v>2.048</v>
      </c>
    </row>
    <row r="153" spans="1:25" x14ac:dyDescent="0.3">
      <c r="A153" s="2">
        <v>60</v>
      </c>
      <c r="B153">
        <v>3.8010000000000002</v>
      </c>
      <c r="C153">
        <v>2.72</v>
      </c>
      <c r="D153">
        <v>2.31</v>
      </c>
      <c r="E153">
        <v>2.1070000000000002</v>
      </c>
      <c r="F153">
        <v>1.9890000000000001</v>
      </c>
      <c r="G153">
        <v>1.915</v>
      </c>
      <c r="H153">
        <v>1.865</v>
      </c>
      <c r="I153">
        <v>1.829</v>
      </c>
      <c r="J153">
        <v>1.8029999999999999</v>
      </c>
      <c r="K153">
        <v>1.7829999999999999</v>
      </c>
      <c r="M153">
        <v>22.122000000000003</v>
      </c>
      <c r="O153" s="2">
        <v>60</v>
      </c>
      <c r="P153">
        <v>3.8010000000000002</v>
      </c>
      <c r="Q153">
        <v>2.72</v>
      </c>
      <c r="R153">
        <v>2.31</v>
      </c>
      <c r="S153">
        <v>2.1070000000000002</v>
      </c>
      <c r="T153">
        <v>1.9890000000000001</v>
      </c>
      <c r="U153">
        <v>1.915</v>
      </c>
      <c r="V153">
        <v>1.865</v>
      </c>
      <c r="W153">
        <v>1.829</v>
      </c>
      <c r="X153">
        <v>1.8029999999999999</v>
      </c>
      <c r="Y153">
        <v>1.7829999999999999</v>
      </c>
    </row>
    <row r="154" spans="1:25" x14ac:dyDescent="0.3">
      <c r="A154" s="2">
        <v>70</v>
      </c>
      <c r="B154">
        <v>3.6629999999999998</v>
      </c>
      <c r="C154">
        <v>2.6110000000000002</v>
      </c>
      <c r="D154">
        <v>2.169</v>
      </c>
      <c r="E154">
        <v>1.956</v>
      </c>
      <c r="F154">
        <v>1.833</v>
      </c>
      <c r="G154">
        <v>1.7470000000000001</v>
      </c>
      <c r="H154">
        <v>1.6890000000000001</v>
      </c>
      <c r="I154">
        <v>1.651</v>
      </c>
      <c r="J154">
        <v>1.6220000000000001</v>
      </c>
      <c r="K154">
        <v>1.603</v>
      </c>
      <c r="M154">
        <v>20.544</v>
      </c>
      <c r="O154" s="2">
        <v>70</v>
      </c>
      <c r="P154">
        <v>3.6629999999999998</v>
      </c>
      <c r="Q154">
        <v>2.6110000000000002</v>
      </c>
      <c r="R154">
        <v>2.169</v>
      </c>
      <c r="S154">
        <v>1.956</v>
      </c>
      <c r="T154">
        <v>1.833</v>
      </c>
      <c r="U154">
        <v>1.7470000000000001</v>
      </c>
      <c r="V154">
        <v>1.6890000000000001</v>
      </c>
      <c r="W154">
        <v>1.651</v>
      </c>
      <c r="X154">
        <v>1.6220000000000001</v>
      </c>
      <c r="Y154">
        <v>1.603</v>
      </c>
    </row>
    <row r="155" spans="1:25" x14ac:dyDescent="0.3">
      <c r="A155" s="2">
        <v>80</v>
      </c>
      <c r="B155">
        <v>3.5409999999999999</v>
      </c>
      <c r="C155">
        <v>2.5249999999999999</v>
      </c>
      <c r="D155">
        <v>2.08</v>
      </c>
      <c r="E155">
        <v>1.843</v>
      </c>
      <c r="F155">
        <v>1.7110000000000001</v>
      </c>
      <c r="G155">
        <v>1.621</v>
      </c>
      <c r="H155">
        <v>1.5649999999999999</v>
      </c>
      <c r="I155">
        <v>1.522</v>
      </c>
      <c r="J155">
        <v>1.4890000000000001</v>
      </c>
      <c r="K155">
        <v>1.468</v>
      </c>
      <c r="M155">
        <v>19.365000000000002</v>
      </c>
      <c r="O155" s="2">
        <v>80</v>
      </c>
      <c r="P155">
        <v>3.5409999999999999</v>
      </c>
      <c r="Q155">
        <v>2.5249999999999999</v>
      </c>
      <c r="R155">
        <v>2.08</v>
      </c>
      <c r="S155">
        <v>1.843</v>
      </c>
      <c r="T155">
        <v>1.7110000000000001</v>
      </c>
      <c r="U155">
        <v>1.621</v>
      </c>
      <c r="V155">
        <v>1.5649999999999999</v>
      </c>
      <c r="W155">
        <v>1.522</v>
      </c>
      <c r="X155">
        <v>1.4890000000000001</v>
      </c>
      <c r="Y155">
        <v>1.468</v>
      </c>
    </row>
    <row r="156" spans="1:25" x14ac:dyDescent="0.3">
      <c r="A156" s="2">
        <v>90</v>
      </c>
      <c r="B156">
        <v>3.4460000000000002</v>
      </c>
      <c r="C156">
        <v>2.4540000000000002</v>
      </c>
      <c r="D156">
        <v>2.012</v>
      </c>
      <c r="E156">
        <v>1.7669999999999999</v>
      </c>
      <c r="F156">
        <v>1.625</v>
      </c>
      <c r="G156">
        <v>1.5309999999999999</v>
      </c>
      <c r="H156">
        <v>1.47</v>
      </c>
      <c r="I156">
        <v>1.429</v>
      </c>
      <c r="J156">
        <v>1.3919999999999999</v>
      </c>
      <c r="K156">
        <v>1.363</v>
      </c>
      <c r="M156">
        <v>18.489000000000001</v>
      </c>
      <c r="O156" s="2">
        <v>90</v>
      </c>
      <c r="P156">
        <v>3.4460000000000002</v>
      </c>
      <c r="Q156">
        <v>2.4540000000000002</v>
      </c>
      <c r="R156">
        <v>2.012</v>
      </c>
      <c r="S156">
        <v>1.7669999999999999</v>
      </c>
      <c r="T156">
        <v>1.625</v>
      </c>
      <c r="U156">
        <v>1.5309999999999999</v>
      </c>
      <c r="V156">
        <v>1.47</v>
      </c>
      <c r="W156">
        <v>1.429</v>
      </c>
      <c r="X156">
        <v>1.3919999999999999</v>
      </c>
      <c r="Y156">
        <v>1.363</v>
      </c>
    </row>
    <row r="157" spans="1:25" x14ac:dyDescent="0.3">
      <c r="A157" s="2">
        <v>100</v>
      </c>
      <c r="B157">
        <v>3.41</v>
      </c>
      <c r="C157">
        <v>2.39</v>
      </c>
      <c r="D157">
        <v>1.9650000000000001</v>
      </c>
      <c r="E157">
        <v>1.7110000000000001</v>
      </c>
      <c r="F157">
        <v>1.5640000000000001</v>
      </c>
      <c r="G157">
        <v>1.4650000000000001</v>
      </c>
      <c r="H157">
        <v>1.3979999999999999</v>
      </c>
      <c r="I157">
        <v>1.351</v>
      </c>
      <c r="J157">
        <v>1.3140000000000001</v>
      </c>
      <c r="K157">
        <v>1.2889999999999999</v>
      </c>
      <c r="M157">
        <v>17.857000000000003</v>
      </c>
      <c r="O157" s="2">
        <v>100</v>
      </c>
      <c r="P157">
        <v>3.41</v>
      </c>
      <c r="Q157">
        <v>2.39</v>
      </c>
      <c r="R157">
        <v>1.9650000000000001</v>
      </c>
      <c r="S157">
        <v>1.7110000000000001</v>
      </c>
      <c r="T157">
        <v>1.5640000000000001</v>
      </c>
      <c r="U157">
        <v>1.4650000000000001</v>
      </c>
      <c r="V157">
        <v>1.3979999999999999</v>
      </c>
      <c r="W157">
        <v>1.351</v>
      </c>
      <c r="X157">
        <v>1.3140000000000001</v>
      </c>
      <c r="Y157">
        <v>1.2889999999999999</v>
      </c>
    </row>
    <row r="158" spans="1:25" x14ac:dyDescent="0.3">
      <c r="A158" s="2" t="s">
        <v>22</v>
      </c>
    </row>
    <row r="159" spans="1:25" x14ac:dyDescent="0.3">
      <c r="A159" s="2" t="s">
        <v>19</v>
      </c>
      <c r="B159">
        <v>46.096999999999994</v>
      </c>
      <c r="C159">
        <v>36.778999999999996</v>
      </c>
      <c r="D159">
        <v>33.229000000000006</v>
      </c>
      <c r="E159">
        <v>31.372999999999998</v>
      </c>
      <c r="F159">
        <v>30.307999999999996</v>
      </c>
      <c r="G159">
        <v>29.611999999999998</v>
      </c>
      <c r="H159">
        <v>29.143999999999998</v>
      </c>
      <c r="I159">
        <v>28.820999999999994</v>
      </c>
      <c r="J159">
        <v>28.58</v>
      </c>
      <c r="K159">
        <v>28.400000000000002</v>
      </c>
      <c r="M159">
        <v>322.34300000000002</v>
      </c>
    </row>
  </sheetData>
  <conditionalFormatting sqref="AB3:AK12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0:AK29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N20:AW29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EAC52E6EC78543BC2523538C645861" ma:contentTypeVersion="15" ma:contentTypeDescription="Create a new document." ma:contentTypeScope="" ma:versionID="2e52310d78666c88f366d939dc430bae">
  <xsd:schema xmlns:xsd="http://www.w3.org/2001/XMLSchema" xmlns:xs="http://www.w3.org/2001/XMLSchema" xmlns:p="http://schemas.microsoft.com/office/2006/metadata/properties" xmlns:ns3="76242816-6bc5-45ff-89ea-647b5d79523e" xmlns:ns4="decf4ffa-c7e1-4328-8e59-3b9dccb46494" targetNamespace="http://schemas.microsoft.com/office/2006/metadata/properties" ma:root="true" ma:fieldsID="3c39f85678f3d4fe153d708d9d6a5b9e" ns3:_="" ns4:_="">
    <xsd:import namespace="76242816-6bc5-45ff-89ea-647b5d79523e"/>
    <xsd:import namespace="decf4ffa-c7e1-4328-8e59-3b9dccb4649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242816-6bc5-45ff-89ea-647b5d7952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cf4ffa-c7e1-4328-8e59-3b9dccb4649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6242816-6bc5-45ff-89ea-647b5d79523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977D89-0C8E-4F47-9C60-A82F07F011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242816-6bc5-45ff-89ea-647b5d79523e"/>
    <ds:schemaRef ds:uri="decf4ffa-c7e1-4328-8e59-3b9dccb464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2C9CC28-BE78-4060-828B-A0071C452345}">
  <ds:schemaRefs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purl.org/dc/terms/"/>
    <ds:schemaRef ds:uri="decf4ffa-c7e1-4328-8e59-3b9dccb46494"/>
    <ds:schemaRef ds:uri="http://schemas.microsoft.com/office/2006/documentManagement/types"/>
    <ds:schemaRef ds:uri="http://schemas.microsoft.com/office/2006/metadata/properties"/>
    <ds:schemaRef ds:uri="76242816-6bc5-45ff-89ea-647b5d79523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7B53F4DE-8951-4071-917A-A80F802505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Accel Curve</vt:lpstr>
      <vt:lpstr>Speed Curve</vt:lpstr>
      <vt:lpstr>AllSpeedAllAccelTest</vt:lpstr>
      <vt:lpstr>AllSpeedsAllAccelsRobot1(2)</vt:lpstr>
      <vt:lpstr>AllSpeedsAllAccelsRobot1(3)</vt:lpstr>
      <vt:lpstr>AllSpeedsAllAccelsRobot1(4)</vt:lpstr>
      <vt:lpstr>AllSpeedsAllAccelsRobot1(5)</vt:lpstr>
      <vt:lpstr>AllSpeedsAllAccelsRobot1(6)</vt:lpstr>
      <vt:lpstr>AllSpeedsAllAccelsRobot1(7)</vt:lpstr>
      <vt:lpstr>AllSpeedsAllAccelsRobot1(8)</vt:lpstr>
      <vt:lpstr>AllSpeedsAllAccelsRobot1(9)</vt:lpstr>
      <vt:lpstr>AllSpeedsAllAccelsRobot1(10)</vt:lpstr>
      <vt:lpstr>AllSpeedsAllAccelsRobot1(11)</vt:lpstr>
      <vt:lpstr>Power Calculations</vt:lpstr>
      <vt:lpstr>AverageTIme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Thomys Guidera, Kilian</dc:creator>
  <cp:lastModifiedBy>Thomys Guidera, Kilian</cp:lastModifiedBy>
  <dcterms:created xsi:type="dcterms:W3CDTF">2026-02-26T14:23:40Z</dcterms:created>
  <dcterms:modified xsi:type="dcterms:W3CDTF">2026-04-03T10:46:43Z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0x010100C4EAC52E6EC78543BC2523538C645861</vt:lpwstr>
  </property>
</Properties>
</file>